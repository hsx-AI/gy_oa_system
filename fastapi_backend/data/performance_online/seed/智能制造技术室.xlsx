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sx\Downloads\"/>
    </mc:Choice>
  </mc:AlternateContent>
  <bookViews>
    <workbookView windowWidth="28800" windowHeight="14200"/>
  </bookViews>
  <sheets>
    <sheet name="绩效考核分数统计表" sheetId="1" r:id="rId1"/>
    <sheet name="徐殿鑫" sheetId="11" r:id="rId2"/>
  </sheets>
  <definedNames>
    <definedName name="_xlnm._FilterDatabase" localSheetId="0" hidden="1">绩效考核分数统计表!$AA$4:$BR$14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F4" authorId="0">
      <text>
        <r>
          <rPr>
            <sz val="9"/>
            <rFont val="宋体"/>
            <charset val="134"/>
          </rPr>
          <t>Administrator:
所有评分做出excel对照优良中差的系数以便选取</t>
        </r>
      </text>
    </comment>
  </commentList>
</comments>
</file>

<file path=xl/sharedStrings.xml><?xml version="1.0" encoding="utf-8"?>
<sst xmlns="http://schemas.openxmlformats.org/spreadsheetml/2006/main" count="250" uniqueCount="185">
  <si>
    <t>姓名</t>
  </si>
  <si>
    <t>基础考核</t>
  </si>
  <si>
    <t>技术准备</t>
  </si>
  <si>
    <t>生产服务</t>
  </si>
  <si>
    <t>党务工作</t>
  </si>
  <si>
    <t>公出</t>
  </si>
  <si>
    <t>科技创新（各单项分数不设上限）</t>
  </si>
  <si>
    <t>360评价加减分</t>
  </si>
  <si>
    <t>培训与培养加减分</t>
  </si>
  <si>
    <t>管理团队加减分</t>
  </si>
  <si>
    <t>员工绩效目标/高职级人员绩效目标责任状评分</t>
  </si>
  <si>
    <t>KPI修正系数
（技术职级系数KT实际值=技术职级系数标准值*评分系数）</t>
  </si>
  <si>
    <t>综合加分减分项（加分上限5分，减分无下限）</t>
  </si>
  <si>
    <t>合计</t>
  </si>
  <si>
    <t>考勤</t>
  </si>
  <si>
    <t>加班</t>
  </si>
  <si>
    <t>请假（不算工伤带薪休假等）</t>
  </si>
  <si>
    <t>拒绝任务</t>
  </si>
  <si>
    <t>其它</t>
  </si>
  <si>
    <t>小计</t>
  </si>
  <si>
    <t>按照科室定额表填报</t>
  </si>
  <si>
    <t>NCR/SDR/TQS（份）</t>
  </si>
  <si>
    <t>通知单(份)</t>
  </si>
  <si>
    <t>工艺码上办</t>
  </si>
  <si>
    <t>其他</t>
  </si>
  <si>
    <t>难度大
质量高</t>
  </si>
  <si>
    <t>审核积极分子材料</t>
  </si>
  <si>
    <t>审核发展对象材料</t>
  </si>
  <si>
    <t>审核预备党员材料</t>
  </si>
  <si>
    <t>技术文件</t>
  </si>
  <si>
    <t>日常文件</t>
  </si>
  <si>
    <t>组织参加会议</t>
  </si>
  <si>
    <t xml:space="preserve">厂内巡检
</t>
  </si>
  <si>
    <t xml:space="preserve">厂外巡检
</t>
  </si>
  <si>
    <t>码上办接单</t>
  </si>
  <si>
    <t>工地问题远程指导</t>
  </si>
  <si>
    <t>四新技术服务</t>
  </si>
  <si>
    <t>跟班服务</t>
  </si>
  <si>
    <t>数字化车间运维值班服务</t>
  </si>
  <si>
    <t>联合会检、见证</t>
  </si>
  <si>
    <t>数控程序补充修改</t>
  </si>
  <si>
    <r>
      <rPr>
        <sz val="10"/>
        <color rgb="FF000000"/>
        <rFont val="宋体"/>
        <charset val="134"/>
      </rPr>
      <t>其他班组服务或接待服务等</t>
    </r>
    <r>
      <rPr>
        <sz val="10"/>
        <color rgb="FF000000"/>
        <rFont val="宋体"/>
        <charset val="134"/>
      </rPr>
      <t xml:space="preserve">
</t>
    </r>
    <r>
      <rPr>
        <sz val="10"/>
        <color rgb="FFFF0000"/>
        <rFont val="宋体"/>
        <charset val="134"/>
      </rPr>
      <t>/小时</t>
    </r>
  </si>
  <si>
    <t xml:space="preserve">             自主科技创新
每月按项目总工作量标准赋值的月完成量填报，可多人填报，每个项目所有人累计各月填报总量不超过项目总工作量标准赋值；累计达到总赋值停止填报；填报单位：人均月均分值</t>
  </si>
  <si>
    <t>条线项目
（每月按项目总工作量标准赋值的月完成量填报，可多人填报，每个项目所有人累计各月填报总量不超过项目总工作量标准赋值；条线项目获奖后一、二、三等奖分别按条线项目标准赋值的50%、25%、10%给予项目负责人或实际执行人绩效统计当月一次性加分，未获奖或未设奖的不加分）
填报单位：人均月均分值</t>
  </si>
  <si>
    <t>同事（权重20%）</t>
  </si>
  <si>
    <t>服务对象（权重60%）</t>
  </si>
  <si>
    <t>上级（权重20%）</t>
  </si>
  <si>
    <t>培训（权重70%）</t>
  </si>
  <si>
    <t>培养（权重30%）</t>
  </si>
  <si>
    <t>高级主任</t>
  </si>
  <si>
    <t>主任</t>
  </si>
  <si>
    <t>副主任</t>
  </si>
  <si>
    <t>其他职级</t>
  </si>
  <si>
    <t>岗位基本系数</t>
  </si>
  <si>
    <t>技术职级系数</t>
  </si>
  <si>
    <t>工龄系数</t>
  </si>
  <si>
    <t>系数总和</t>
  </si>
  <si>
    <t>序号</t>
  </si>
  <si>
    <r>
      <rPr>
        <sz val="10"/>
        <color rgb="FF000000"/>
        <rFont val="宋体"/>
        <charset val="134"/>
      </rPr>
      <t>编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/页</t>
    </r>
  </si>
  <si>
    <r>
      <rPr>
        <sz val="10"/>
        <color rgb="FF000000"/>
        <rFont val="宋体"/>
        <charset val="134"/>
      </rPr>
      <t>校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/页</t>
    </r>
  </si>
  <si>
    <r>
      <rPr>
        <sz val="10"/>
        <color rgb="FF000000"/>
        <rFont val="宋体"/>
        <charset val="134"/>
      </rPr>
      <t>审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/页</t>
    </r>
  </si>
  <si>
    <r>
      <rPr>
        <sz val="10"/>
        <color rgb="FF000000"/>
        <rFont val="宋体"/>
        <charset val="134"/>
      </rPr>
      <t>会签</t>
    </r>
    <r>
      <rPr>
        <sz val="10"/>
        <color rgb="FF000000"/>
        <rFont val="宋体"/>
        <charset val="134"/>
      </rPr>
      <t xml:space="preserve">
</t>
    </r>
    <r>
      <rPr>
        <b/>
        <sz val="10"/>
        <color rgb="FFFF0000"/>
        <rFont val="宋体"/>
        <charset val="134"/>
      </rPr>
      <t>/份</t>
    </r>
  </si>
  <si>
    <r>
      <rPr>
        <sz val="10"/>
        <color rgb="FF000000"/>
        <rFont val="宋体"/>
        <charset val="134"/>
      </rPr>
      <t>标准化（汇总）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/页</t>
    </r>
  </si>
  <si>
    <r>
      <rPr>
        <sz val="10"/>
        <color rgb="FF000000"/>
        <rFont val="宋体"/>
        <charset val="134"/>
      </rPr>
      <t>加减分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/分</t>
    </r>
  </si>
  <si>
    <r>
      <rPr>
        <sz val="10"/>
        <color rgb="FF000000"/>
        <rFont val="宋体"/>
        <charset val="134"/>
      </rPr>
      <t>公司级组织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/次</t>
    </r>
  </si>
  <si>
    <r>
      <rPr>
        <sz val="10"/>
        <color rgb="FF000000"/>
        <rFont val="宋体"/>
        <charset val="134"/>
      </rPr>
      <t>项目部级组织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/次</t>
    </r>
  </si>
  <si>
    <r>
      <rPr>
        <sz val="10"/>
        <color rgb="FF000000"/>
        <rFont val="宋体"/>
        <charset val="134"/>
      </rPr>
      <t>参加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/次</t>
    </r>
  </si>
  <si>
    <r>
      <rPr>
        <sz val="10"/>
        <color rgb="FFFF0000"/>
        <rFont val="宋体"/>
        <charset val="134"/>
      </rPr>
      <t>项目内容</t>
    </r>
    <r>
      <rPr>
        <sz val="10"/>
        <color rgb="FFFF0000"/>
        <rFont val="宋体"/>
        <charset val="134"/>
      </rPr>
      <t xml:space="preserve">
</t>
    </r>
    <r>
      <rPr>
        <sz val="10"/>
        <color rgb="FFFF0000"/>
        <rFont val="宋体"/>
        <charset val="134"/>
      </rPr>
      <t>/分</t>
    </r>
  </si>
  <si>
    <r>
      <rPr>
        <sz val="10"/>
        <color rgb="FFFF0000"/>
        <rFont val="宋体"/>
        <charset val="134"/>
      </rPr>
      <t>难度质量系数</t>
    </r>
    <r>
      <rPr>
        <sz val="10"/>
        <color rgb="FFFF0000"/>
        <rFont val="宋体"/>
        <charset val="134"/>
      </rPr>
      <t xml:space="preserve">
</t>
    </r>
    <r>
      <rPr>
        <sz val="10"/>
        <color rgb="FFFF0000"/>
        <rFont val="宋体"/>
        <charset val="134"/>
      </rPr>
      <t>（0-2）</t>
    </r>
  </si>
  <si>
    <t>一级</t>
  </si>
  <si>
    <t>二级</t>
  </si>
  <si>
    <t>三级</t>
  </si>
  <si>
    <t>单项得分</t>
  </si>
  <si>
    <t>编制</t>
  </si>
  <si>
    <t>校核</t>
  </si>
  <si>
    <t>审定</t>
  </si>
  <si>
    <t>掩盖不良品</t>
  </si>
  <si>
    <t>会签</t>
  </si>
  <si>
    <t>无违反工艺纪律（项）</t>
  </si>
  <si>
    <t>有违反工艺纪律（项）</t>
  </si>
  <si>
    <t>无违反工艺纪律项（项）</t>
  </si>
  <si>
    <t>工单处理（项）</t>
  </si>
  <si>
    <t>个人工单处理总时长（h）</t>
  </si>
  <si>
    <t>人均单项处理时长（h）</t>
  </si>
  <si>
    <t>评分</t>
  </si>
  <si>
    <r>
      <rPr>
        <sz val="10"/>
        <color rgb="FF000000"/>
        <rFont val="宋体"/>
        <charset val="134"/>
      </rPr>
      <t>巡视单</t>
    </r>
    <r>
      <rPr>
        <sz val="10"/>
        <color rgb="FF000000"/>
        <rFont val="宋体"/>
        <charset val="134"/>
      </rPr>
      <t xml:space="preserve">
</t>
    </r>
    <r>
      <rPr>
        <sz val="10"/>
        <color rgb="FFFF0000"/>
        <rFont val="宋体"/>
        <charset val="134"/>
      </rPr>
      <t>/份</t>
    </r>
  </si>
  <si>
    <t>（次）</t>
  </si>
  <si>
    <t>（h）</t>
  </si>
  <si>
    <t>难度质量系数（0-2）</t>
  </si>
  <si>
    <t>0.5/人</t>
  </si>
  <si>
    <t>0.75/人</t>
  </si>
  <si>
    <t>0.625/人</t>
  </si>
  <si>
    <t>天数/天</t>
  </si>
  <si>
    <t>完工总结/页</t>
  </si>
  <si>
    <t>质量难度系数</t>
  </si>
  <si>
    <t>国家级课题申报
（项目数）
15分</t>
  </si>
  <si>
    <t>省部级/市级课题申报
（项目数）
10分</t>
  </si>
  <si>
    <t>首台套/国家级及省部级/协会奖项申报（项目数）
8分</t>
  </si>
  <si>
    <t>横向课题申报
（项目数）
5分</t>
  </si>
  <si>
    <t>专利
（篇）
3分</t>
  </si>
  <si>
    <t>论文
（篇）
3分</t>
  </si>
  <si>
    <t>使用各种CAD软件用于3D打印、热/力学的模型/网格的修改（项）
1.5分</t>
  </si>
  <si>
    <t>使用各种CAD软件用于非标/机械的机构/装置/设备设计，按照实现功能的主要结构部件数量(个）
1.5分</t>
  </si>
  <si>
    <t>已上线数字化系统/码上办小程序业务向的修改(每个业务向的需求）
1.5分</t>
  </si>
  <si>
    <t>数字化系统、嵌入式/自动化配套软硬件、小程序、网页、脚本按照主要程序规模（小于1500行代码）
 1.5分</t>
  </si>
  <si>
    <t>数字化系统、嵌入式/自动化配套软硬件、小程序、网页、脚本按照主要程序规（1500-5000代码）
2.5分</t>
  </si>
  <si>
    <t>数字化系统、嵌入式/自动化配套软硬件、小程序、网页、脚本按照主要程序规（大于5000代码）
5分</t>
  </si>
  <si>
    <t>自动化、嵌入式等控制软硬件及配套工程研发（原理图、layout、PCB、接线图设计每张）
1.5分</t>
  </si>
  <si>
    <t>数字化系统的完成部署、上线、测试；硬件项目焊接、调试、安装（项）
1.5分</t>
  </si>
  <si>
    <t>产线级3D建模动作仿真、渲染或车间级节拍仿真（项）
2.5分</t>
  </si>
  <si>
    <t>机器人编程、离线仿真（项）
1.5分</t>
  </si>
  <si>
    <t>公司级数智化转型建设/工艺布局（公司内独立进行设计/项）
8分</t>
  </si>
  <si>
    <t>协作机器人工艺包开发
10分</t>
  </si>
  <si>
    <t>国家级科研课题
35分</t>
  </si>
  <si>
    <t>国家标准制订/修订
35分</t>
  </si>
  <si>
    <t>省部级/市级科研课题
30分</t>
  </si>
  <si>
    <t>行业/团体标准制订/修订
30分</t>
  </si>
  <si>
    <t>公开发行的专著（非期刊类）编撰/修订
25分</t>
  </si>
  <si>
    <t>横向科研课题
25分</t>
  </si>
  <si>
    <t>公司科研课题
20分</t>
  </si>
  <si>
    <t>标准化规范化/公司级标准新编/修订
15分</t>
  </si>
  <si>
    <t>集团级重大典型质量改进
15分</t>
  </si>
  <si>
    <t>集团级质量问题“双归零”
15分</t>
  </si>
  <si>
    <t>公司工艺攻关
12分</t>
  </si>
  <si>
    <t>降本增效
10分</t>
  </si>
  <si>
    <t>公司质量改进
12分</t>
  </si>
  <si>
    <t>QC
12分</t>
  </si>
  <si>
    <t>重大工艺创新
12分</t>
  </si>
  <si>
    <t>四个融合
10分</t>
  </si>
  <si>
    <t>精益六西格玛
10分</t>
  </si>
  <si>
    <t>CYD研发平台建设
8分</t>
  </si>
  <si>
    <t>揭榜挂帅
8分</t>
  </si>
  <si>
    <t>管理改进
8分</t>
  </si>
  <si>
    <t>党员攻关/劳动攻关
6分</t>
  </si>
  <si>
    <t>全员工艺创新
6分</t>
  </si>
  <si>
    <t>三级书记
6分</t>
  </si>
  <si>
    <t>创新方法大赛/AI大赛
6分</t>
  </si>
  <si>
    <t>班组同事评价加减分项</t>
  </si>
  <si>
    <t>服务对象评价减分项</t>
  </si>
  <si>
    <t>班组管理人员评价加减分项</t>
  </si>
  <si>
    <t>总师评价加减分项</t>
  </si>
  <si>
    <t>班子评价加减分项</t>
  </si>
  <si>
    <t>培训人加分项（权重30%）</t>
  </si>
  <si>
    <t>受训人加分项（权重40%）</t>
  </si>
  <si>
    <t>专家带助手</t>
  </si>
  <si>
    <t>师傅带徒弟</t>
  </si>
  <si>
    <t>师兄带师弟</t>
  </si>
  <si>
    <t>培养减分项</t>
  </si>
  <si>
    <t>日常管理活动工作量</t>
  </si>
  <si>
    <t>经济责任制完成情况加分项</t>
  </si>
  <si>
    <t>述职汇报加分项</t>
  </si>
  <si>
    <t>领导班子评价加分项</t>
  </si>
  <si>
    <t>减分项</t>
  </si>
  <si>
    <t>职务加分（×综合技术室评价系数后）</t>
  </si>
  <si>
    <t>目标A</t>
  </si>
  <si>
    <t>评分系数</t>
  </si>
  <si>
    <t>目标B</t>
  </si>
  <si>
    <t>目标C</t>
  </si>
  <si>
    <t>目标D</t>
  </si>
  <si>
    <t>KB</t>
  </si>
  <si>
    <t>KT</t>
  </si>
  <si>
    <t>KS</t>
  </si>
  <si>
    <t>K</t>
  </si>
  <si>
    <t>排名</t>
  </si>
  <si>
    <t>司亮</t>
  </si>
  <si>
    <t>王金彪</t>
  </si>
  <si>
    <t>徐殿鑫</t>
  </si>
  <si>
    <t>黄圣轩</t>
  </si>
  <si>
    <t>周雨欣</t>
  </si>
  <si>
    <t>赵鑫</t>
  </si>
  <si>
    <t>罗宇靖</t>
  </si>
  <si>
    <t>张继元</t>
  </si>
  <si>
    <t>刘飞</t>
  </si>
  <si>
    <t>黄弋轩</t>
  </si>
  <si>
    <t>朱梓晴</t>
  </si>
  <si>
    <t>郝秋宇</t>
  </si>
  <si>
    <t>黄文昊</t>
  </si>
  <si>
    <t>白鑫博</t>
  </si>
  <si>
    <t>李晨煜</t>
  </si>
  <si>
    <t>日期</t>
  </si>
  <si>
    <r>
      <rPr>
        <b/>
        <sz val="14"/>
        <color rgb="FF000000"/>
        <rFont val="宋体"/>
        <charset val="134"/>
      </rPr>
      <t>纪</t>
    </r>
    <r>
      <rPr>
        <b/>
        <sz val="14"/>
        <color rgb="FF000000"/>
        <rFont val="宋体"/>
        <charset val="134"/>
      </rPr>
      <t xml:space="preserve">    </t>
    </r>
    <r>
      <rPr>
        <b/>
        <sz val="14"/>
        <color rgb="FF000000"/>
        <rFont val="宋体"/>
        <charset val="134"/>
      </rPr>
      <t>实</t>
    </r>
  </si>
  <si>
    <t>公司级计数</t>
  </si>
  <si>
    <t>项目部级计数</t>
  </si>
  <si>
    <t>组织</t>
  </si>
  <si>
    <t>参加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</si>
</sst>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;[Red]0.0"/>
    <numFmt numFmtId="177" formatCode="0.0"/>
    <numFmt numFmtId="178" formatCode="0_);[Red]\(0\)"/>
    <numFmt numFmtId="179" formatCode="0_ "/>
  </numFmts>
  <fonts count="40">
    <font>
      <sz val="12"/>
      <name val="宋体"/>
      <charset val="134"/>
    </font>
    <font>
      <b/>
      <sz val="14"/>
      <color rgb="FF000000"/>
      <name val="宋体"/>
      <charset val="134"/>
    </font>
    <font>
      <sz val="12"/>
      <color rgb="FF000000"/>
      <name val="宋体"/>
      <charset val="134"/>
    </font>
    <font>
      <sz val="14"/>
      <name val="宋体"/>
      <charset val="134"/>
    </font>
    <font>
      <strike/>
      <sz val="12"/>
      <name val="宋体"/>
      <charset val="134"/>
    </font>
    <font>
      <b/>
      <sz val="14"/>
      <name val="宋体"/>
      <charset val="134"/>
    </font>
    <font>
      <b/>
      <strike/>
      <sz val="14"/>
      <name val="宋体"/>
      <charset val="134"/>
    </font>
    <font>
      <b/>
      <sz val="11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strike/>
      <sz val="10"/>
      <color indexed="8"/>
      <name val="宋体"/>
      <charset val="134"/>
    </font>
    <font>
      <sz val="10"/>
      <name val="宋体"/>
      <charset val="134"/>
    </font>
    <font>
      <strike/>
      <sz val="1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strike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6" borderId="4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9" applyNumberFormat="0" applyFill="0" applyAlignment="0" applyProtection="0">
      <alignment vertical="center"/>
    </xf>
    <xf numFmtId="0" fontId="24" fillId="0" borderId="49" applyNumberFormat="0" applyFill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2" borderId="51" applyNumberFormat="0" applyAlignment="0" applyProtection="0">
      <alignment vertical="center"/>
    </xf>
    <xf numFmtId="0" fontId="27" fillId="13" borderId="52" applyNumberFormat="0" applyAlignment="0" applyProtection="0">
      <alignment vertical="center"/>
    </xf>
    <xf numFmtId="0" fontId="28" fillId="13" borderId="51" applyNumberFormat="0" applyAlignment="0" applyProtection="0">
      <alignment vertical="center"/>
    </xf>
    <xf numFmtId="0" fontId="29" fillId="14" borderId="53" applyNumberFormat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1" fillId="0" borderId="55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</cellStyleXfs>
  <cellXfs count="18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176" fontId="2" fillId="0" borderId="1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Protection="1">
      <alignment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0" fillId="10" borderId="24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26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0" fillId="10" borderId="28" xfId="0" applyNumberFormat="1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0" fontId="11" fillId="11" borderId="22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13" fillId="6" borderId="36" xfId="0" applyFont="1" applyFill="1" applyBorder="1" applyAlignment="1">
      <alignment horizontal="center" vertical="center" wrapText="1"/>
    </xf>
    <xf numFmtId="0" fontId="8" fillId="6" borderId="37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horizontal="center" vertical="center"/>
    </xf>
    <xf numFmtId="0" fontId="14" fillId="8" borderId="39" xfId="0" applyFont="1" applyFill="1" applyBorder="1" applyAlignment="1">
      <alignment horizontal="center" vertical="center" wrapText="1"/>
    </xf>
    <xf numFmtId="0" fontId="15" fillId="11" borderId="36" xfId="0" applyFont="1" applyFill="1" applyBorder="1" applyAlignment="1">
      <alignment horizontal="center" vertical="center" wrapText="1"/>
    </xf>
    <xf numFmtId="0" fontId="16" fillId="8" borderId="36" xfId="0" applyFont="1" applyFill="1" applyBorder="1" applyAlignment="1">
      <alignment horizontal="center" vertical="center" wrapText="1"/>
    </xf>
    <xf numFmtId="0" fontId="11" fillId="8" borderId="37" xfId="0" applyFont="1" applyFill="1" applyBorder="1" applyAlignment="1">
      <alignment horizontal="center" vertical="center" wrapText="1"/>
    </xf>
    <xf numFmtId="0" fontId="11" fillId="9" borderId="35" xfId="0" applyFont="1" applyFill="1" applyBorder="1" applyAlignment="1">
      <alignment horizontal="center" vertical="center" wrapText="1"/>
    </xf>
    <xf numFmtId="0" fontId="11" fillId="9" borderId="36" xfId="0" applyFont="1" applyFill="1" applyBorder="1" applyAlignment="1">
      <alignment horizontal="center" vertical="center" wrapText="1"/>
    </xf>
    <xf numFmtId="0" fontId="9" fillId="9" borderId="36" xfId="0" applyFont="1" applyFill="1" applyBorder="1" applyAlignment="1">
      <alignment horizontal="center" vertical="center" wrapText="1"/>
    </xf>
    <xf numFmtId="0" fontId="11" fillId="9" borderId="25" xfId="0" applyFont="1" applyFill="1" applyBorder="1" applyAlignment="1">
      <alignment horizontal="center" vertical="center" wrapText="1"/>
    </xf>
    <xf numFmtId="0" fontId="11" fillId="8" borderId="35" xfId="0" applyFont="1" applyFill="1" applyBorder="1" applyAlignment="1">
      <alignment horizontal="center" vertical="center" wrapText="1"/>
    </xf>
    <xf numFmtId="0" fontId="11" fillId="8" borderId="36" xfId="0" applyFont="1" applyFill="1" applyBorder="1" applyAlignment="1">
      <alignment horizontal="center" vertical="center" wrapText="1"/>
    </xf>
    <xf numFmtId="0" fontId="7" fillId="8" borderId="40" xfId="0" applyFont="1" applyFill="1" applyBorder="1" applyAlignment="1">
      <alignment horizontal="center" vertical="center" wrapText="1"/>
    </xf>
    <xf numFmtId="0" fontId="0" fillId="10" borderId="4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8" fillId="0" borderId="42" xfId="52" applyFont="1" applyFill="1" applyBorder="1" applyAlignment="1">
      <alignment horizontal="center" vertical="center" wrapText="1"/>
    </xf>
    <xf numFmtId="0" fontId="8" fillId="0" borderId="42" xfId="53" applyFont="1" applyFill="1" applyBorder="1" applyAlignment="1">
      <alignment horizontal="center" vertical="center" wrapText="1"/>
    </xf>
    <xf numFmtId="0" fontId="9" fillId="0" borderId="42" xfId="53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0" fillId="0" borderId="42" xfId="53" applyFont="1" applyFill="1" applyBorder="1" applyAlignment="1">
      <alignment horizontal="center" vertical="center" wrapText="1"/>
    </xf>
    <xf numFmtId="0" fontId="8" fillId="0" borderId="8" xfId="53" applyFont="1" applyFill="1" applyBorder="1" applyAlignment="1">
      <alignment horizontal="center" vertical="center" wrapText="1"/>
    </xf>
    <xf numFmtId="177" fontId="8" fillId="0" borderId="42" xfId="52" applyNumberFormat="1" applyFont="1" applyFill="1" applyBorder="1" applyAlignment="1">
      <alignment horizontal="center" vertical="center" wrapText="1"/>
    </xf>
    <xf numFmtId="0" fontId="10" fillId="0" borderId="8" xfId="53" applyFont="1" applyFill="1" applyBorder="1" applyAlignment="1">
      <alignment horizontal="center" vertical="center" wrapText="1"/>
    </xf>
    <xf numFmtId="0" fontId="8" fillId="0" borderId="43" xfId="53" applyFont="1" applyFill="1" applyBorder="1" applyAlignment="1">
      <alignment horizontal="center" vertical="center" wrapText="1"/>
    </xf>
    <xf numFmtId="0" fontId="0" fillId="0" borderId="3" xfId="0" applyFill="1" applyBorder="1" applyAlignment="1" applyProtection="1">
      <alignment horizontal="center" vertical="center"/>
    </xf>
    <xf numFmtId="0" fontId="8" fillId="0" borderId="44" xfId="53" applyFont="1" applyFill="1" applyBorder="1" applyAlignment="1">
      <alignment horizontal="center" vertical="center" wrapText="1"/>
    </xf>
    <xf numFmtId="2" fontId="8" fillId="0" borderId="42" xfId="52" applyNumberFormat="1" applyFont="1" applyFill="1" applyBorder="1" applyAlignment="1">
      <alignment horizontal="center" vertical="center" wrapText="1"/>
    </xf>
    <xf numFmtId="0" fontId="8" fillId="0" borderId="42" xfId="52" applyNumberFormat="1" applyFont="1" applyFill="1" applyBorder="1" applyAlignment="1">
      <alignment horizontal="center" vertical="center" wrapText="1"/>
    </xf>
    <xf numFmtId="0" fontId="8" fillId="0" borderId="42" xfId="53" applyFont="1" applyFill="1" applyBorder="1" applyAlignment="1" applyProtection="1">
      <alignment horizontal="center" vertical="center" wrapText="1"/>
    </xf>
    <xf numFmtId="178" fontId="0" fillId="0" borderId="0" xfId="0" applyNumberFormat="1" applyFill="1" applyProtection="1">
      <alignment vertical="center"/>
    </xf>
    <xf numFmtId="0" fontId="0" fillId="0" borderId="0" xfId="0" applyFill="1" applyProtection="1">
      <alignment vertical="center"/>
    </xf>
    <xf numFmtId="0" fontId="8" fillId="0" borderId="42" xfId="52" applyFont="1" applyFill="1" applyBorder="1" applyAlignment="1">
      <alignment horizontal="center" vertical="center" wrapText="1"/>
    </xf>
    <xf numFmtId="179" fontId="11" fillId="0" borderId="8" xfId="0" applyNumberFormat="1" applyFont="1" applyFill="1" applyBorder="1" applyAlignment="1">
      <alignment horizontal="center" vertical="center" wrapText="1"/>
    </xf>
    <xf numFmtId="0" fontId="10" fillId="0" borderId="42" xfId="52" applyFont="1" applyFill="1" applyBorder="1" applyAlignment="1">
      <alignment horizontal="center" vertical="center" wrapText="1"/>
    </xf>
    <xf numFmtId="177" fontId="8" fillId="0" borderId="42" xfId="52" applyNumberFormat="1" applyFont="1" applyFill="1" applyBorder="1" applyAlignment="1">
      <alignment horizontal="center" vertical="center" wrapText="1"/>
    </xf>
    <xf numFmtId="0" fontId="8" fillId="0" borderId="42" xfId="53" applyFont="1" applyFill="1" applyBorder="1" applyAlignment="1">
      <alignment horizontal="center" vertical="center" wrapText="1"/>
    </xf>
    <xf numFmtId="0" fontId="8" fillId="0" borderId="45" xfId="52" applyFont="1" applyFill="1" applyBorder="1" applyAlignment="1">
      <alignment horizontal="center" vertical="center" wrapText="1"/>
    </xf>
    <xf numFmtId="0" fontId="0" fillId="0" borderId="3" xfId="0" applyFill="1" applyBorder="1" applyAlignment="1" applyProtection="1">
      <alignment horizontal="center" vertical="center"/>
    </xf>
    <xf numFmtId="0" fontId="8" fillId="0" borderId="46" xfId="52" applyFont="1" applyFill="1" applyBorder="1" applyAlignment="1">
      <alignment horizontal="center" vertical="center" wrapText="1"/>
    </xf>
    <xf numFmtId="0" fontId="8" fillId="0" borderId="8" xfId="53" applyFont="1" applyFill="1" applyBorder="1" applyAlignment="1">
      <alignment horizontal="center" vertical="center" wrapText="1"/>
    </xf>
    <xf numFmtId="2" fontId="8" fillId="0" borderId="42" xfId="52" applyNumberFormat="1" applyFont="1" applyFill="1" applyBorder="1" applyAlignment="1">
      <alignment horizontal="center" vertical="center" wrapText="1"/>
    </xf>
    <xf numFmtId="0" fontId="8" fillId="0" borderId="42" xfId="52" applyNumberFormat="1" applyFont="1" applyFill="1" applyBorder="1" applyAlignment="1">
      <alignment horizontal="center" vertical="center" wrapText="1"/>
    </xf>
    <xf numFmtId="0" fontId="8" fillId="0" borderId="42" xfId="52" applyFont="1" applyFill="1" applyBorder="1" applyAlignment="1" applyProtection="1">
      <alignment horizontal="center" vertical="center" wrapText="1"/>
    </xf>
    <xf numFmtId="178" fontId="0" fillId="0" borderId="0" xfId="0" applyNumberFormat="1" applyFill="1" applyProtection="1">
      <alignment vertical="center"/>
    </xf>
    <xf numFmtId="0" fontId="0" fillId="0" borderId="0" xfId="0" applyFill="1" applyProtection="1">
      <alignment vertical="center"/>
    </xf>
    <xf numFmtId="0" fontId="8" fillId="0" borderId="47" xfId="52" applyFont="1" applyFill="1" applyBorder="1" applyAlignment="1">
      <alignment horizontal="center" vertical="center" wrapText="1"/>
    </xf>
    <xf numFmtId="0" fontId="0" fillId="0" borderId="3" xfId="0" applyFill="1" applyBorder="1" applyAlignment="1" applyProtection="1">
      <alignment horizontal="center" vertical="center"/>
      <protection locked="0"/>
    </xf>
    <xf numFmtId="0" fontId="10" fillId="0" borderId="42" xfId="53" applyFont="1" applyFill="1" applyBorder="1" applyAlignment="1">
      <alignment horizontal="center" vertical="center" wrapText="1"/>
    </xf>
    <xf numFmtId="0" fontId="10" fillId="0" borderId="8" xfId="53" applyFont="1" applyFill="1" applyBorder="1" applyAlignment="1">
      <alignment horizontal="center" vertical="center" wrapText="1"/>
    </xf>
    <xf numFmtId="0" fontId="8" fillId="0" borderId="43" xfId="53" applyFont="1" applyFill="1" applyBorder="1" applyAlignment="1">
      <alignment horizontal="center" vertical="center" wrapText="1"/>
    </xf>
    <xf numFmtId="0" fontId="8" fillId="0" borderId="44" xfId="53" applyFont="1" applyFill="1" applyBorder="1" applyAlignment="1">
      <alignment horizontal="center" vertical="center" wrapText="1"/>
    </xf>
    <xf numFmtId="0" fontId="8" fillId="0" borderId="42" xfId="53" applyFont="1" applyFill="1" applyBorder="1" applyAlignment="1" applyProtection="1">
      <alignment horizontal="center" vertical="center" wrapText="1"/>
    </xf>
    <xf numFmtId="0" fontId="8" fillId="0" borderId="3" xfId="53" applyFont="1" applyFill="1" applyBorder="1" applyAlignment="1">
      <alignment horizontal="center" vertical="center" wrapText="1"/>
    </xf>
    <xf numFmtId="0" fontId="8" fillId="0" borderId="3" xfId="53" applyFont="1" applyFill="1" applyBorder="1" applyAlignment="1">
      <alignment horizontal="center" vertical="center" wrapText="1"/>
    </xf>
    <xf numFmtId="0" fontId="10" fillId="0" borderId="3" xfId="53" applyFont="1" applyFill="1" applyBorder="1" applyAlignment="1">
      <alignment horizontal="center" vertical="center" wrapText="1"/>
    </xf>
    <xf numFmtId="0" fontId="8" fillId="0" borderId="3" xfId="52" applyFont="1" applyFill="1" applyBorder="1" applyAlignment="1">
      <alignment horizontal="center" vertical="center" wrapText="1"/>
    </xf>
    <xf numFmtId="0" fontId="8" fillId="0" borderId="17" xfId="53" applyFont="1" applyFill="1" applyBorder="1" applyAlignment="1">
      <alignment horizontal="center" vertical="center" wrapText="1"/>
    </xf>
    <xf numFmtId="0" fontId="8" fillId="0" borderId="22" xfId="53" applyFont="1" applyFill="1" applyBorder="1" applyAlignment="1">
      <alignment horizontal="center" vertical="center" wrapText="1"/>
    </xf>
    <xf numFmtId="2" fontId="8" fillId="0" borderId="3" xfId="52" applyNumberFormat="1" applyFont="1" applyFill="1" applyBorder="1" applyAlignment="1">
      <alignment horizontal="center" vertical="center" wrapText="1"/>
    </xf>
    <xf numFmtId="0" fontId="8" fillId="0" borderId="3" xfId="53" applyFont="1" applyFill="1" applyBorder="1" applyAlignment="1" applyProtection="1">
      <alignment horizontal="center" vertical="center" wrapText="1"/>
    </xf>
    <xf numFmtId="0" fontId="9" fillId="0" borderId="42" xfId="52" applyFont="1" applyFill="1" applyBorder="1" applyAlignment="1">
      <alignment horizontal="center" vertical="center" wrapText="1"/>
    </xf>
    <xf numFmtId="0" fontId="0" fillId="0" borderId="8" xfId="0" applyFill="1" applyBorder="1" applyAlignment="1" applyProtection="1">
      <alignment horizontal="center" vertical="center"/>
      <protection locked="0"/>
    </xf>
    <xf numFmtId="0" fontId="8" fillId="0" borderId="8" xfId="52" applyFont="1" applyFill="1" applyBorder="1" applyAlignment="1">
      <alignment horizontal="center" vertical="center" wrapText="1"/>
    </xf>
    <xf numFmtId="0" fontId="9" fillId="0" borderId="42" xfId="52" applyFont="1" applyFill="1" applyBorder="1" applyAlignment="1">
      <alignment horizontal="center" vertical="center" wrapText="1"/>
    </xf>
    <xf numFmtId="0" fontId="10" fillId="0" borderId="42" xfId="52" applyFont="1" applyFill="1" applyBorder="1" applyAlignment="1">
      <alignment horizontal="center" vertical="center" wrapText="1"/>
    </xf>
    <xf numFmtId="177" fontId="9" fillId="0" borderId="42" xfId="52" applyNumberFormat="1" applyFont="1" applyFill="1" applyBorder="1" applyAlignment="1">
      <alignment horizontal="center" vertical="center" wrapText="1"/>
    </xf>
    <xf numFmtId="0" fontId="8" fillId="0" borderId="45" xfId="52" applyFont="1" applyFill="1" applyBorder="1" applyAlignment="1">
      <alignment horizontal="center" vertical="center" wrapText="1"/>
    </xf>
    <xf numFmtId="0" fontId="8" fillId="0" borderId="46" xfId="52" applyFont="1" applyFill="1" applyBorder="1" applyAlignment="1">
      <alignment horizontal="center" vertical="center" wrapText="1"/>
    </xf>
    <xf numFmtId="0" fontId="9" fillId="0" borderId="42" xfId="52" applyFont="1" applyFill="1" applyBorder="1" applyAlignment="1" applyProtection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 2" xfId="49"/>
    <cellStyle name="常规 17 2 2" xfId="50"/>
    <cellStyle name="常规 2" xfId="51"/>
    <cellStyle name="常规 35" xfId="52"/>
    <cellStyle name="常规 36 2" xfId="53"/>
    <cellStyle name="常规 45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Y68"/>
  <sheetViews>
    <sheetView tabSelected="1" zoomScale="85" zoomScaleNormal="85" workbookViewId="0">
      <pane xSplit="2" ySplit="4" topLeftCell="E5" activePane="bottomRight" state="frozen"/>
      <selection/>
      <selection pane="topRight"/>
      <selection pane="bottomLeft"/>
      <selection pane="bottomRight" activeCell="A17" sqref="A17"/>
    </sheetView>
  </sheetViews>
  <sheetFormatPr defaultColWidth="9" defaultRowHeight="15"/>
  <cols>
    <col min="1" max="1" width="4.75" style="35" customWidth="1"/>
    <col min="2" max="2" width="7.5" style="35" customWidth="1"/>
    <col min="3" max="3" width="4.75" style="35" hidden="1" customWidth="1"/>
    <col min="4" max="13" width="4.75" style="35" customWidth="1"/>
    <col min="14" max="14" width="4.75" style="36" customWidth="1"/>
    <col min="15" max="19" width="4.75" style="35" customWidth="1"/>
    <col min="20" max="20" width="4.75" style="36" customWidth="1"/>
    <col min="21" max="26" width="4.75" style="35" customWidth="1"/>
    <col min="27" max="36" width="4.75" style="36" hidden="1" customWidth="1"/>
    <col min="37" max="42" width="4.75" style="35" hidden="1" customWidth="1"/>
    <col min="43" max="47" width="4.75" style="37" hidden="1" customWidth="1"/>
    <col min="48" max="48" width="4.75" style="35" customWidth="1"/>
    <col min="49" max="66" width="4.75" style="35" hidden="1" customWidth="1"/>
    <col min="67" max="67" width="3.91666666666667" style="35" hidden="1" customWidth="1"/>
    <col min="68" max="68" width="2.25" style="35" hidden="1" customWidth="1"/>
    <col min="69" max="70" width="3.91666666666667" style="35" hidden="1" customWidth="1"/>
    <col min="71" max="79" width="4.75" style="35" customWidth="1"/>
    <col min="80" max="80" width="4.75" style="36" hidden="1" customWidth="1"/>
    <col min="81" max="81" width="4.75" style="35" customWidth="1"/>
    <col min="82" max="82" width="6.75" style="35" customWidth="1"/>
    <col min="83" max="89" width="7.49166666666667" style="35" customWidth="1"/>
    <col min="90" max="90" width="12.725" style="35" customWidth="1"/>
    <col min="91" max="100" width="7.49166666666667" style="35" customWidth="1"/>
    <col min="101" max="109" width="4.75" style="35" customWidth="1"/>
    <col min="110" max="110" width="4.75" style="35" hidden="1" customWidth="1"/>
    <col min="111" max="117" width="4.75" style="35" customWidth="1"/>
    <col min="118" max="118" width="4.75" style="35" hidden="1" customWidth="1"/>
    <col min="119" max="124" width="4.75" style="35" customWidth="1"/>
    <col min="125" max="125" width="6.75" style="35" customWidth="1"/>
    <col min="126" max="131" width="6.75" style="35" hidden="1" customWidth="1"/>
    <col min="132" max="133" width="6.75" style="38" customWidth="1"/>
    <col min="134" max="145" width="6.75" style="35" customWidth="1"/>
    <col min="146" max="154" width="6.75" style="35" hidden="1" customWidth="1"/>
    <col min="155" max="159" width="6.75" style="35" customWidth="1"/>
    <col min="160" max="160" width="10.6666666666667" style="39"/>
    <col min="161" max="181" width="9" style="40"/>
    <col min="182" max="16384" width="9" style="35"/>
  </cols>
  <sheetData>
    <row r="1" s="29" customFormat="1" ht="27.75" customHeight="1" spans="1:181">
      <c r="A1" s="41" t="s">
        <v>0</v>
      </c>
      <c r="B1" s="42"/>
      <c r="C1" s="43" t="s">
        <v>1</v>
      </c>
      <c r="D1" s="44"/>
      <c r="E1" s="44"/>
      <c r="F1" s="44"/>
      <c r="G1" s="44"/>
      <c r="H1" s="45"/>
      <c r="I1" s="46" t="s">
        <v>2</v>
      </c>
      <c r="J1" s="47"/>
      <c r="K1" s="47"/>
      <c r="L1" s="47"/>
      <c r="M1" s="47"/>
      <c r="N1" s="48"/>
      <c r="O1" s="47" t="s">
        <v>2</v>
      </c>
      <c r="P1" s="47"/>
      <c r="Q1" s="47"/>
      <c r="R1" s="47"/>
      <c r="S1" s="47"/>
      <c r="T1" s="48"/>
      <c r="U1" s="47"/>
      <c r="V1" s="47"/>
      <c r="W1" s="47"/>
      <c r="X1" s="47"/>
      <c r="Y1" s="47"/>
      <c r="Z1" s="49"/>
      <c r="AA1" s="50" t="s">
        <v>3</v>
      </c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2"/>
      <c r="BW1" s="53" t="s">
        <v>4</v>
      </c>
      <c r="BX1" s="53"/>
      <c r="BY1" s="53"/>
      <c r="BZ1" s="53"/>
      <c r="CA1" s="54" t="s">
        <v>5</v>
      </c>
      <c r="CB1" s="55"/>
      <c r="CC1" s="56"/>
      <c r="CD1" s="57"/>
      <c r="CE1" s="58" t="s">
        <v>6</v>
      </c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60"/>
      <c r="DV1" s="61" t="s">
        <v>7</v>
      </c>
      <c r="DW1" s="62"/>
      <c r="DX1" s="62"/>
      <c r="DY1" s="62"/>
      <c r="DZ1" s="62"/>
      <c r="EA1" s="63"/>
      <c r="EB1" s="64" t="s">
        <v>8</v>
      </c>
      <c r="EC1" s="65"/>
      <c r="ED1" s="65"/>
      <c r="EE1" s="65"/>
      <c r="EF1" s="65"/>
      <c r="EG1" s="65"/>
      <c r="EH1" s="66"/>
      <c r="EI1" s="64" t="s">
        <v>9</v>
      </c>
      <c r="EJ1" s="65"/>
      <c r="EK1" s="65"/>
      <c r="EL1" s="65"/>
      <c r="EM1" s="65"/>
      <c r="EN1" s="65"/>
      <c r="EO1" s="66"/>
      <c r="EP1" s="61" t="s">
        <v>10</v>
      </c>
      <c r="EQ1" s="62"/>
      <c r="ER1" s="62"/>
      <c r="ES1" s="62"/>
      <c r="ET1" s="62"/>
      <c r="EU1" s="62"/>
      <c r="EV1" s="62"/>
      <c r="EW1" s="62"/>
      <c r="EX1" s="63"/>
      <c r="EY1" s="67" t="s">
        <v>11</v>
      </c>
      <c r="EZ1" s="68"/>
      <c r="FA1" s="68"/>
      <c r="FB1" s="69"/>
      <c r="FC1" s="70" t="s">
        <v>12</v>
      </c>
      <c r="FD1" s="71" t="s">
        <v>13</v>
      </c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</row>
    <row r="2" ht="46.5" customHeight="1" spans="1:181">
      <c r="A2" s="72"/>
      <c r="B2" s="73"/>
      <c r="C2" s="74" t="s">
        <v>14</v>
      </c>
      <c r="D2" s="75" t="s">
        <v>15</v>
      </c>
      <c r="E2" s="76" t="s">
        <v>16</v>
      </c>
      <c r="F2" s="75" t="s">
        <v>17</v>
      </c>
      <c r="G2" s="75" t="s">
        <v>18</v>
      </c>
      <c r="H2" s="77" t="s">
        <v>19</v>
      </c>
      <c r="I2" s="78" t="s">
        <v>20</v>
      </c>
      <c r="J2" s="79"/>
      <c r="K2" s="79"/>
      <c r="L2" s="79"/>
      <c r="M2" s="79"/>
      <c r="N2" s="80"/>
      <c r="O2" s="79" t="s">
        <v>20</v>
      </c>
      <c r="P2" s="79"/>
      <c r="Q2" s="79"/>
      <c r="R2" s="79"/>
      <c r="S2" s="79"/>
      <c r="T2" s="80"/>
      <c r="U2" s="79"/>
      <c r="V2" s="79"/>
      <c r="W2" s="79"/>
      <c r="X2" s="79"/>
      <c r="Y2" s="79"/>
      <c r="Z2" s="81"/>
      <c r="AA2" s="82" t="s">
        <v>21</v>
      </c>
      <c r="AB2" s="80"/>
      <c r="AC2" s="80"/>
      <c r="AD2" s="80"/>
      <c r="AE2" s="80" t="s">
        <v>22</v>
      </c>
      <c r="AF2" s="80"/>
      <c r="AG2" s="80"/>
      <c r="AH2" s="80"/>
      <c r="AI2" s="80"/>
      <c r="AJ2" s="80"/>
      <c r="AK2" s="79" t="s">
        <v>23</v>
      </c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 t="s">
        <v>24</v>
      </c>
      <c r="BT2" s="79" t="s">
        <v>25</v>
      </c>
      <c r="BU2" s="79"/>
      <c r="BV2" s="83" t="s">
        <v>19</v>
      </c>
      <c r="BW2" s="84" t="s">
        <v>26</v>
      </c>
      <c r="BX2" s="84" t="s">
        <v>27</v>
      </c>
      <c r="BY2" s="84" t="s">
        <v>28</v>
      </c>
      <c r="BZ2" s="85" t="s">
        <v>19</v>
      </c>
      <c r="CA2" s="86"/>
      <c r="CB2" s="87"/>
      <c r="CC2" s="88"/>
      <c r="CD2" s="89" t="s">
        <v>19</v>
      </c>
      <c r="CE2" s="90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2" t="s">
        <v>19</v>
      </c>
      <c r="DV2" s="93"/>
      <c r="DW2" s="94"/>
      <c r="DX2" s="94"/>
      <c r="DY2" s="94"/>
      <c r="DZ2" s="94"/>
      <c r="EA2" s="95" t="s">
        <v>19</v>
      </c>
      <c r="EB2" s="96"/>
      <c r="EC2" s="94"/>
      <c r="ED2" s="94"/>
      <c r="EE2" s="94"/>
      <c r="EF2" s="94"/>
      <c r="EG2" s="94"/>
      <c r="EH2" s="89" t="s">
        <v>19</v>
      </c>
      <c r="EI2" s="96"/>
      <c r="EJ2" s="94"/>
      <c r="EK2" s="94"/>
      <c r="EL2" s="94"/>
      <c r="EM2" s="94"/>
      <c r="EN2" s="94"/>
      <c r="EO2" s="89" t="s">
        <v>19</v>
      </c>
      <c r="EP2" s="93"/>
      <c r="EQ2" s="94"/>
      <c r="ER2" s="94"/>
      <c r="ES2" s="94"/>
      <c r="ET2" s="94"/>
      <c r="EU2" s="94"/>
      <c r="EV2" s="94"/>
      <c r="EW2" s="94"/>
      <c r="EX2" s="95" t="s">
        <v>19</v>
      </c>
      <c r="EY2" s="96"/>
      <c r="EZ2" s="94"/>
      <c r="FA2" s="94"/>
      <c r="FB2" s="97"/>
      <c r="FC2" s="98"/>
      <c r="FD2" s="99"/>
    </row>
    <row r="3" ht="54.75" customHeight="1" spans="1:181">
      <c r="A3" s="72"/>
      <c r="B3" s="73"/>
      <c r="C3" s="100"/>
      <c r="D3" s="101"/>
      <c r="E3" s="101"/>
      <c r="F3" s="101"/>
      <c r="G3" s="101"/>
      <c r="H3" s="102"/>
      <c r="I3" s="78" t="s">
        <v>29</v>
      </c>
      <c r="J3" s="79"/>
      <c r="K3" s="79"/>
      <c r="L3" s="79"/>
      <c r="M3" s="79"/>
      <c r="N3" s="80"/>
      <c r="O3" s="79" t="s">
        <v>30</v>
      </c>
      <c r="P3" s="79"/>
      <c r="Q3" s="79"/>
      <c r="R3" s="79"/>
      <c r="S3" s="79"/>
      <c r="T3" s="80"/>
      <c r="U3" s="79" t="s">
        <v>31</v>
      </c>
      <c r="V3" s="79"/>
      <c r="W3" s="79"/>
      <c r="X3" s="79" t="s">
        <v>25</v>
      </c>
      <c r="Y3" s="79"/>
      <c r="Z3" s="81" t="s">
        <v>19</v>
      </c>
      <c r="AA3" s="82"/>
      <c r="AB3" s="80"/>
      <c r="AC3" s="80"/>
      <c r="AD3" s="80"/>
      <c r="AE3" s="80"/>
      <c r="AF3" s="80"/>
      <c r="AG3" s="80"/>
      <c r="AH3" s="80"/>
      <c r="AI3" s="80"/>
      <c r="AJ3" s="80"/>
      <c r="AK3" s="79" t="s">
        <v>32</v>
      </c>
      <c r="AL3" s="79"/>
      <c r="AM3" s="79"/>
      <c r="AN3" s="79" t="s">
        <v>33</v>
      </c>
      <c r="AO3" s="79"/>
      <c r="AP3" s="79"/>
      <c r="AQ3" s="79" t="s">
        <v>34</v>
      </c>
      <c r="AR3" s="79"/>
      <c r="AS3" s="79"/>
      <c r="AT3" s="79"/>
      <c r="AU3" s="79"/>
      <c r="AV3" s="79"/>
      <c r="AW3" s="79" t="s">
        <v>35</v>
      </c>
      <c r="AX3" s="79"/>
      <c r="AY3" s="79"/>
      <c r="AZ3" s="79"/>
      <c r="BA3" s="79" t="s">
        <v>36</v>
      </c>
      <c r="BB3" s="79"/>
      <c r="BC3" s="79"/>
      <c r="BD3" s="79"/>
      <c r="BE3" s="79" t="s">
        <v>37</v>
      </c>
      <c r="BF3" s="79"/>
      <c r="BG3" s="79"/>
      <c r="BH3" s="79"/>
      <c r="BI3" s="79" t="s">
        <v>38</v>
      </c>
      <c r="BJ3" s="79"/>
      <c r="BK3" s="79"/>
      <c r="BL3" s="79"/>
      <c r="BM3" s="79" t="s">
        <v>39</v>
      </c>
      <c r="BN3" s="79"/>
      <c r="BO3" s="79" t="s">
        <v>40</v>
      </c>
      <c r="BP3" s="79"/>
      <c r="BQ3" s="79"/>
      <c r="BR3" s="79"/>
      <c r="BS3" s="103" t="s">
        <v>41</v>
      </c>
      <c r="BT3" s="79"/>
      <c r="BU3" s="79"/>
      <c r="BV3" s="83"/>
      <c r="BW3" s="104"/>
      <c r="BX3" s="104"/>
      <c r="BY3" s="104"/>
      <c r="BZ3" s="105"/>
      <c r="CA3" s="86"/>
      <c r="CB3" s="87"/>
      <c r="CC3" s="88"/>
      <c r="CD3" s="89"/>
      <c r="CE3" s="90" t="s">
        <v>42</v>
      </c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 t="s">
        <v>43</v>
      </c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  <c r="DR3" s="91"/>
      <c r="DS3" s="91"/>
      <c r="DT3" s="91"/>
      <c r="DU3" s="92"/>
      <c r="DV3" s="106" t="s">
        <v>44</v>
      </c>
      <c r="DW3" s="107" t="s">
        <v>45</v>
      </c>
      <c r="DX3" s="107" t="s">
        <v>46</v>
      </c>
      <c r="DY3" s="107"/>
      <c r="DZ3" s="107"/>
      <c r="EA3" s="95"/>
      <c r="EB3" s="96" t="s">
        <v>47</v>
      </c>
      <c r="EC3" s="94"/>
      <c r="ED3" s="94" t="s">
        <v>48</v>
      </c>
      <c r="EE3" s="94"/>
      <c r="EF3" s="94"/>
      <c r="EG3" s="94"/>
      <c r="EH3" s="89"/>
      <c r="EI3" s="96"/>
      <c r="EJ3" s="94"/>
      <c r="EK3" s="94"/>
      <c r="EL3" s="94"/>
      <c r="EM3" s="94"/>
      <c r="EN3" s="94"/>
      <c r="EO3" s="89"/>
      <c r="EP3" s="93" t="s">
        <v>49</v>
      </c>
      <c r="EQ3" s="94"/>
      <c r="ER3" s="94" t="s">
        <v>50</v>
      </c>
      <c r="ES3" s="94"/>
      <c r="ET3" s="94" t="s">
        <v>51</v>
      </c>
      <c r="EU3" s="94"/>
      <c r="EV3" s="94" t="s">
        <v>52</v>
      </c>
      <c r="EW3" s="94"/>
      <c r="EX3" s="95"/>
      <c r="EY3" s="96" t="s">
        <v>53</v>
      </c>
      <c r="EZ3" s="94" t="s">
        <v>54</v>
      </c>
      <c r="FA3" s="94" t="s">
        <v>55</v>
      </c>
      <c r="FB3" s="89" t="s">
        <v>56</v>
      </c>
      <c r="FC3" s="98"/>
      <c r="FD3" s="99"/>
    </row>
    <row r="4" s="30" customFormat="1" ht="116.25" customHeight="1" spans="1:181">
      <c r="A4" s="72" t="s">
        <v>57</v>
      </c>
      <c r="B4" s="73" t="s">
        <v>0</v>
      </c>
      <c r="C4" s="108"/>
      <c r="D4" s="109"/>
      <c r="E4" s="109"/>
      <c r="F4" s="109"/>
      <c r="G4" s="109"/>
      <c r="H4" s="110"/>
      <c r="I4" s="111" t="s">
        <v>58</v>
      </c>
      <c r="J4" s="112" t="s">
        <v>59</v>
      </c>
      <c r="K4" s="112" t="s">
        <v>60</v>
      </c>
      <c r="L4" s="112" t="s">
        <v>61</v>
      </c>
      <c r="M4" s="112" t="s">
        <v>62</v>
      </c>
      <c r="N4" s="112" t="s">
        <v>63</v>
      </c>
      <c r="O4" s="112" t="s">
        <v>58</v>
      </c>
      <c r="P4" s="112" t="s">
        <v>59</v>
      </c>
      <c r="Q4" s="112" t="s">
        <v>60</v>
      </c>
      <c r="R4" s="112" t="s">
        <v>61</v>
      </c>
      <c r="S4" s="112" t="s">
        <v>62</v>
      </c>
      <c r="T4" s="112" t="s">
        <v>63</v>
      </c>
      <c r="U4" s="112" t="s">
        <v>64</v>
      </c>
      <c r="V4" s="112" t="s">
        <v>65</v>
      </c>
      <c r="W4" s="112" t="s">
        <v>66</v>
      </c>
      <c r="X4" s="113" t="s">
        <v>67</v>
      </c>
      <c r="Y4" s="113" t="s">
        <v>68</v>
      </c>
      <c r="Z4" s="114"/>
      <c r="AA4" s="115" t="s">
        <v>69</v>
      </c>
      <c r="AB4" s="116" t="s">
        <v>70</v>
      </c>
      <c r="AC4" s="116" t="s">
        <v>71</v>
      </c>
      <c r="AD4" s="116" t="s">
        <v>72</v>
      </c>
      <c r="AE4" s="116" t="s">
        <v>73</v>
      </c>
      <c r="AF4" s="116" t="s">
        <v>74</v>
      </c>
      <c r="AG4" s="116" t="s">
        <v>75</v>
      </c>
      <c r="AH4" s="116" t="s">
        <v>76</v>
      </c>
      <c r="AI4" s="116" t="s">
        <v>77</v>
      </c>
      <c r="AJ4" s="116" t="s">
        <v>72</v>
      </c>
      <c r="AK4" s="117" t="s">
        <v>78</v>
      </c>
      <c r="AL4" s="117" t="s">
        <v>79</v>
      </c>
      <c r="AM4" s="117" t="s">
        <v>72</v>
      </c>
      <c r="AN4" s="117" t="s">
        <v>80</v>
      </c>
      <c r="AO4" s="117" t="s">
        <v>79</v>
      </c>
      <c r="AP4" s="117" t="s">
        <v>72</v>
      </c>
      <c r="AQ4" s="117" t="s">
        <v>81</v>
      </c>
      <c r="AR4" s="117" t="s">
        <v>82</v>
      </c>
      <c r="AS4" s="117" t="s">
        <v>83</v>
      </c>
      <c r="AT4" s="117" t="s">
        <v>84</v>
      </c>
      <c r="AU4" s="117"/>
      <c r="AV4" s="112" t="s">
        <v>85</v>
      </c>
      <c r="AW4" s="117" t="s">
        <v>86</v>
      </c>
      <c r="AX4" s="117" t="s">
        <v>84</v>
      </c>
      <c r="AY4" s="117"/>
      <c r="AZ4" s="117" t="s">
        <v>72</v>
      </c>
      <c r="BA4" s="117" t="s">
        <v>86</v>
      </c>
      <c r="BB4" s="117" t="s">
        <v>84</v>
      </c>
      <c r="BC4" s="117"/>
      <c r="BD4" s="117" t="s">
        <v>72</v>
      </c>
      <c r="BE4" s="117" t="s">
        <v>87</v>
      </c>
      <c r="BF4" s="117" t="s">
        <v>84</v>
      </c>
      <c r="BG4" s="117"/>
      <c r="BH4" s="117" t="s">
        <v>72</v>
      </c>
      <c r="BI4" s="117" t="s">
        <v>87</v>
      </c>
      <c r="BJ4" s="117" t="s">
        <v>84</v>
      </c>
      <c r="BK4" s="117"/>
      <c r="BL4" s="117" t="s">
        <v>72</v>
      </c>
      <c r="BM4" s="117" t="s">
        <v>86</v>
      </c>
      <c r="BN4" s="117" t="s">
        <v>72</v>
      </c>
      <c r="BO4" s="117" t="s">
        <v>86</v>
      </c>
      <c r="BP4" s="117" t="s">
        <v>84</v>
      </c>
      <c r="BQ4" s="117"/>
      <c r="BR4" s="117" t="s">
        <v>72</v>
      </c>
      <c r="BS4" s="112"/>
      <c r="BT4" s="113" t="s">
        <v>67</v>
      </c>
      <c r="BU4" s="113" t="s">
        <v>88</v>
      </c>
      <c r="BV4" s="118"/>
      <c r="BW4" s="84" t="s">
        <v>89</v>
      </c>
      <c r="BX4" s="84" t="s">
        <v>90</v>
      </c>
      <c r="BY4" s="84" t="s">
        <v>91</v>
      </c>
      <c r="BZ4" s="105"/>
      <c r="CA4" s="119" t="s">
        <v>92</v>
      </c>
      <c r="CB4" s="120" t="s">
        <v>93</v>
      </c>
      <c r="CC4" s="121" t="s">
        <v>94</v>
      </c>
      <c r="CD4" s="122"/>
      <c r="CE4" s="123" t="s">
        <v>95</v>
      </c>
      <c r="CF4" s="124" t="s">
        <v>96</v>
      </c>
      <c r="CG4" s="124" t="s">
        <v>97</v>
      </c>
      <c r="CH4" s="124" t="s">
        <v>98</v>
      </c>
      <c r="CI4" s="124" t="s">
        <v>99</v>
      </c>
      <c r="CJ4" s="124" t="s">
        <v>100</v>
      </c>
      <c r="CK4" s="124" t="s">
        <v>101</v>
      </c>
      <c r="CL4" s="125" t="s">
        <v>102</v>
      </c>
      <c r="CM4" s="124" t="s">
        <v>103</v>
      </c>
      <c r="CN4" s="124" t="s">
        <v>104</v>
      </c>
      <c r="CO4" s="124" t="s">
        <v>105</v>
      </c>
      <c r="CP4" s="124" t="s">
        <v>106</v>
      </c>
      <c r="CQ4" s="124" t="s">
        <v>107</v>
      </c>
      <c r="CR4" s="124" t="s">
        <v>108</v>
      </c>
      <c r="CS4" s="124" t="s">
        <v>109</v>
      </c>
      <c r="CT4" s="124" t="s">
        <v>110</v>
      </c>
      <c r="CU4" s="124" t="s">
        <v>111</v>
      </c>
      <c r="CV4" s="124" t="s">
        <v>112</v>
      </c>
      <c r="CW4" s="124" t="s">
        <v>113</v>
      </c>
      <c r="CX4" s="124" t="s">
        <v>114</v>
      </c>
      <c r="CY4" s="124" t="s">
        <v>115</v>
      </c>
      <c r="CZ4" s="124" t="s">
        <v>116</v>
      </c>
      <c r="DA4" s="124" t="s">
        <v>117</v>
      </c>
      <c r="DB4" s="124" t="s">
        <v>118</v>
      </c>
      <c r="DC4" s="124" t="s">
        <v>119</v>
      </c>
      <c r="DD4" s="124" t="s">
        <v>120</v>
      </c>
      <c r="DE4" s="124" t="s">
        <v>121</v>
      </c>
      <c r="DF4" s="124" t="s">
        <v>122</v>
      </c>
      <c r="DG4" s="124" t="s">
        <v>123</v>
      </c>
      <c r="DH4" s="124" t="s">
        <v>124</v>
      </c>
      <c r="DI4" s="124" t="s">
        <v>125</v>
      </c>
      <c r="DJ4" s="124" t="s">
        <v>126</v>
      </c>
      <c r="DK4" s="124" t="s">
        <v>127</v>
      </c>
      <c r="DL4" s="124" t="s">
        <v>128</v>
      </c>
      <c r="DM4" s="124" t="s">
        <v>129</v>
      </c>
      <c r="DN4" s="124" t="s">
        <v>130</v>
      </c>
      <c r="DO4" s="124" t="s">
        <v>131</v>
      </c>
      <c r="DP4" s="124" t="s">
        <v>132</v>
      </c>
      <c r="DQ4" s="124" t="s">
        <v>133</v>
      </c>
      <c r="DR4" s="124" t="s">
        <v>134</v>
      </c>
      <c r="DS4" s="124" t="s">
        <v>135</v>
      </c>
      <c r="DT4" s="124" t="s">
        <v>136</v>
      </c>
      <c r="DU4" s="126"/>
      <c r="DV4" s="93" t="s">
        <v>137</v>
      </c>
      <c r="DW4" s="94" t="s">
        <v>138</v>
      </c>
      <c r="DX4" s="94" t="s">
        <v>139</v>
      </c>
      <c r="DY4" s="94" t="s">
        <v>140</v>
      </c>
      <c r="DZ4" s="94" t="s">
        <v>141</v>
      </c>
      <c r="EA4" s="95"/>
      <c r="EB4" s="127" t="s">
        <v>142</v>
      </c>
      <c r="EC4" s="128" t="s">
        <v>143</v>
      </c>
      <c r="ED4" s="128" t="s">
        <v>144</v>
      </c>
      <c r="EE4" s="128" t="s">
        <v>145</v>
      </c>
      <c r="EF4" s="128" t="s">
        <v>146</v>
      </c>
      <c r="EG4" s="128" t="s">
        <v>147</v>
      </c>
      <c r="EH4" s="122"/>
      <c r="EI4" s="127" t="s">
        <v>148</v>
      </c>
      <c r="EJ4" s="128" t="s">
        <v>149</v>
      </c>
      <c r="EK4" s="128" t="s">
        <v>150</v>
      </c>
      <c r="EL4" s="128" t="s">
        <v>151</v>
      </c>
      <c r="EM4" s="128" t="s">
        <v>152</v>
      </c>
      <c r="EN4" s="128" t="s">
        <v>153</v>
      </c>
      <c r="EO4" s="122"/>
      <c r="EP4" s="93" t="s">
        <v>154</v>
      </c>
      <c r="EQ4" s="94" t="s">
        <v>155</v>
      </c>
      <c r="ER4" s="94" t="s">
        <v>156</v>
      </c>
      <c r="ES4" s="94" t="s">
        <v>155</v>
      </c>
      <c r="ET4" s="94" t="s">
        <v>157</v>
      </c>
      <c r="EU4" s="94" t="s">
        <v>155</v>
      </c>
      <c r="EV4" s="94" t="s">
        <v>158</v>
      </c>
      <c r="EW4" s="94" t="s">
        <v>155</v>
      </c>
      <c r="EX4" s="95"/>
      <c r="EY4" s="127" t="s">
        <v>159</v>
      </c>
      <c r="EZ4" s="128" t="s">
        <v>160</v>
      </c>
      <c r="FA4" s="128" t="s">
        <v>161</v>
      </c>
      <c r="FB4" s="122" t="s">
        <v>162</v>
      </c>
      <c r="FC4" s="129"/>
      <c r="FD4" s="130"/>
      <c r="FE4" s="40"/>
      <c r="FF4" s="131" t="s">
        <v>163</v>
      </c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</row>
    <row r="5" s="31" customFormat="1" ht="19" customHeight="1" spans="1:181">
      <c r="A5" s="132">
        <v>1</v>
      </c>
      <c r="B5" s="133" t="s">
        <v>164</v>
      </c>
      <c r="C5" s="133"/>
      <c r="D5" s="134"/>
      <c r="E5" s="133"/>
      <c r="F5" s="133"/>
      <c r="G5" s="133"/>
      <c r="H5" s="135">
        <f>IF(E5="",5,IF(E5&lt;=2,2+(2-E5)/0.5*0.5,2-ROUNDUP((E5-2)/0.5,0)*0.5))+D5</f>
        <v>5</v>
      </c>
      <c r="I5" s="133"/>
      <c r="J5" s="133"/>
      <c r="K5" s="133"/>
      <c r="L5" s="133"/>
      <c r="M5" s="133"/>
      <c r="N5" s="136"/>
      <c r="O5" s="133"/>
      <c r="P5" s="133"/>
      <c r="Q5" s="133"/>
      <c r="R5" s="133"/>
      <c r="S5" s="133"/>
      <c r="T5" s="136"/>
      <c r="U5" s="133"/>
      <c r="V5" s="133"/>
      <c r="W5" s="133"/>
      <c r="X5" s="133"/>
      <c r="Y5" s="133"/>
      <c r="Z5" s="132">
        <f t="shared" ref="Z5:Z17" si="0">I5*0.25+J5*0.15+K5*0.15+M5*0.06+N5+O5*0.125+P5*0.075+Q5*0.075+S5*0.03+T5+U5*0.3+V5*0.2+W5*0.125+X5*(1+Y5)+L5*0.25+R5*0.125</f>
        <v>0</v>
      </c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7"/>
      <c r="AL5" s="137"/>
      <c r="AM5" s="137"/>
      <c r="AN5" s="137"/>
      <c r="AO5" s="137"/>
      <c r="AP5" s="137"/>
      <c r="AQ5" s="137"/>
      <c r="AR5" s="137"/>
      <c r="AS5" s="137"/>
      <c r="AT5" s="132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8">
        <f t="shared" ref="BV5:BV17" si="1">BT5*(1+BU5)+AV5*0.125+BS5/16</f>
        <v>0</v>
      </c>
      <c r="BW5" s="138"/>
      <c r="BX5" s="138"/>
      <c r="BY5" s="138"/>
      <c r="BZ5" s="133">
        <f>SUM(BW5:BY5)</f>
        <v>0</v>
      </c>
      <c r="CA5" s="137"/>
      <c r="CB5" s="139"/>
      <c r="CC5" s="138">
        <v>1</v>
      </c>
      <c r="CD5" s="138">
        <f t="shared" ref="CD5:CD17" si="2">CA5*6*CC5/16</f>
        <v>0</v>
      </c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7"/>
      <c r="DM5" s="137"/>
      <c r="DN5" s="137"/>
      <c r="DO5" s="137"/>
      <c r="DP5" s="137"/>
      <c r="DQ5" s="137"/>
      <c r="DR5" s="137"/>
      <c r="DS5" s="137"/>
      <c r="DT5" s="140"/>
      <c r="DU5" s="141">
        <f t="shared" ref="DU5:DU17" si="3">SUM(CE5:DT5)</f>
        <v>0</v>
      </c>
      <c r="DV5" s="142"/>
      <c r="DW5" s="137"/>
      <c r="DX5" s="137"/>
      <c r="DY5" s="137"/>
      <c r="DZ5" s="137"/>
      <c r="EA5" s="137"/>
      <c r="EB5" s="137"/>
      <c r="EC5" s="132">
        <v>1</v>
      </c>
      <c r="ED5" s="137"/>
      <c r="EE5" s="137">
        <v>1.5</v>
      </c>
      <c r="EF5" s="137"/>
      <c r="EG5" s="137"/>
      <c r="EH5" s="138">
        <f t="shared" ref="EH5:EH17" si="4">SUM(EB5:EG5)</f>
        <v>2.5</v>
      </c>
      <c r="EI5" s="137">
        <v>0.6</v>
      </c>
      <c r="EJ5" s="137"/>
      <c r="EK5" s="137"/>
      <c r="EL5" s="137"/>
      <c r="EM5" s="137"/>
      <c r="EO5" s="143">
        <f t="shared" ref="EO5:EO17" si="5">SUM(EI5:EN5)</f>
        <v>0.6</v>
      </c>
      <c r="EP5" s="133"/>
      <c r="EQ5" s="133"/>
      <c r="ER5" s="133"/>
      <c r="ES5" s="133"/>
      <c r="ET5" s="133"/>
      <c r="EU5" s="133"/>
      <c r="EV5" s="133"/>
      <c r="EW5" s="133"/>
      <c r="EX5" s="137"/>
      <c r="EY5" s="143">
        <v>1</v>
      </c>
      <c r="EZ5" s="137">
        <v>0.07</v>
      </c>
      <c r="FA5" s="137">
        <v>0.09</v>
      </c>
      <c r="FB5" s="143">
        <f t="shared" ref="FB5:FB17" si="6">SUM(EY5:FA5)</f>
        <v>1.16</v>
      </c>
      <c r="FC5" s="137"/>
      <c r="FD5" s="144">
        <f>H5+(Z5+BV5+DU5+CD5+BZ5)*FB5+EH5+EO5+FC5</f>
        <v>8.1</v>
      </c>
      <c r="FE5" s="145" t="s">
        <v>164</v>
      </c>
      <c r="FF5" s="146">
        <f>RANK(FD5,$FD$5:$FD$16,0)</f>
        <v>3</v>
      </c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</row>
    <row r="6" s="32" customFormat="1" ht="19" customHeight="1" spans="1:181">
      <c r="A6" s="148">
        <v>2</v>
      </c>
      <c r="B6" s="148" t="s">
        <v>165</v>
      </c>
      <c r="C6" s="148"/>
      <c r="D6" s="148"/>
      <c r="E6" s="148"/>
      <c r="F6" s="148"/>
      <c r="G6" s="148"/>
      <c r="H6" s="135">
        <f t="shared" ref="H6:H16" si="7">IF(E6="",5,IF(E6&lt;=2,2+(2-E6)/0.5*0.5,2-ROUNDUP((E6-2)/0.5,0)*0.5))+D6</f>
        <v>5</v>
      </c>
      <c r="I6" s="148"/>
      <c r="J6" s="149"/>
      <c r="K6" s="148"/>
      <c r="L6" s="148"/>
      <c r="M6" s="148"/>
      <c r="N6" s="150"/>
      <c r="O6" s="148"/>
      <c r="P6" s="148"/>
      <c r="Q6" s="148"/>
      <c r="R6" s="148"/>
      <c r="S6" s="148"/>
      <c r="T6" s="150"/>
      <c r="U6" s="148"/>
      <c r="V6" s="148"/>
      <c r="W6" s="148"/>
      <c r="X6" s="148"/>
      <c r="Y6" s="148"/>
      <c r="Z6" s="148">
        <f t="shared" si="0"/>
        <v>0</v>
      </c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51">
        <f t="shared" si="1"/>
        <v>0</v>
      </c>
      <c r="BW6" s="151"/>
      <c r="BX6" s="151"/>
      <c r="BY6" s="151"/>
      <c r="BZ6" s="152">
        <f t="shared" ref="BZ6:BZ17" si="8">SUM(BW6:BY6)</f>
        <v>0</v>
      </c>
      <c r="CA6" s="148"/>
      <c r="CB6" s="150"/>
      <c r="CC6" s="151">
        <v>1</v>
      </c>
      <c r="CD6" s="151">
        <f t="shared" si="2"/>
        <v>0</v>
      </c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53"/>
      <c r="DU6" s="154">
        <f t="shared" si="3"/>
        <v>0</v>
      </c>
      <c r="DV6" s="155"/>
      <c r="DW6" s="148"/>
      <c r="DX6" s="148"/>
      <c r="DY6" s="148"/>
      <c r="DZ6" s="148"/>
      <c r="EA6" s="148"/>
      <c r="EB6" s="148"/>
      <c r="EC6" s="148">
        <v>1</v>
      </c>
      <c r="ED6" s="148"/>
      <c r="EE6" s="148">
        <v>1.5</v>
      </c>
      <c r="EF6" s="148"/>
      <c r="EG6" s="148"/>
      <c r="EH6" s="151">
        <f t="shared" si="4"/>
        <v>2.5</v>
      </c>
      <c r="EI6" s="148"/>
      <c r="EJ6" s="148"/>
      <c r="EK6" s="148"/>
      <c r="EL6" s="148"/>
      <c r="EM6" s="148"/>
      <c r="EN6" s="156"/>
      <c r="EO6" s="157">
        <f t="shared" si="5"/>
        <v>0</v>
      </c>
      <c r="EP6" s="148"/>
      <c r="EQ6" s="148"/>
      <c r="ER6" s="148"/>
      <c r="ES6" s="148"/>
      <c r="ET6" s="148"/>
      <c r="EU6" s="148"/>
      <c r="EV6" s="148"/>
      <c r="EW6" s="148"/>
      <c r="EX6" s="148"/>
      <c r="EY6" s="157">
        <v>1</v>
      </c>
      <c r="EZ6" s="156">
        <v>0.07</v>
      </c>
      <c r="FA6" s="148">
        <v>0.045</v>
      </c>
      <c r="FB6" s="157">
        <f t="shared" si="6"/>
        <v>1.115</v>
      </c>
      <c r="FC6" s="148"/>
      <c r="FD6" s="158">
        <f t="shared" ref="FD6:FD17" si="9">H6+(Z6+BV6+DU6+CD6+BZ6)*FB6+EH6+EO6+FC6</f>
        <v>7.5</v>
      </c>
      <c r="FE6" s="159" t="s">
        <v>165</v>
      </c>
      <c r="FF6" s="160">
        <f t="shared" ref="FF6:FF17" si="10">RANK(FD6,$FD$5:$FD$16,0)</f>
        <v>5</v>
      </c>
      <c r="FG6" s="161"/>
      <c r="FH6" s="161"/>
      <c r="FI6" s="161"/>
      <c r="FJ6" s="161"/>
      <c r="FK6" s="161"/>
      <c r="FL6" s="161"/>
      <c r="FM6" s="161"/>
      <c r="FN6" s="161"/>
      <c r="FO6" s="161"/>
      <c r="FP6" s="161"/>
      <c r="FQ6" s="161"/>
      <c r="FR6" s="161"/>
      <c r="FS6" s="161"/>
      <c r="FT6" s="161"/>
      <c r="FU6" s="161"/>
      <c r="FV6" s="161"/>
      <c r="FW6" s="161"/>
      <c r="FX6" s="161"/>
      <c r="FY6" s="161"/>
    </row>
    <row r="7" s="31" customFormat="1" ht="19" customHeight="1" spans="1:181">
      <c r="A7" s="132">
        <v>3</v>
      </c>
      <c r="B7" s="133" t="s">
        <v>166</v>
      </c>
      <c r="C7" s="133"/>
      <c r="D7" s="133"/>
      <c r="E7" s="133"/>
      <c r="F7" s="133"/>
      <c r="G7" s="133"/>
      <c r="H7" s="135">
        <f t="shared" si="7"/>
        <v>5</v>
      </c>
      <c r="I7" s="133"/>
      <c r="J7" s="133"/>
      <c r="K7" s="133"/>
      <c r="L7" s="133"/>
      <c r="M7" s="133"/>
      <c r="N7" s="136"/>
      <c r="O7" s="133"/>
      <c r="P7" s="133"/>
      <c r="Q7" s="133"/>
      <c r="R7" s="133"/>
      <c r="S7" s="133"/>
      <c r="T7" s="136"/>
      <c r="U7" s="133"/>
      <c r="V7" s="133"/>
      <c r="W7" s="133"/>
      <c r="X7" s="133"/>
      <c r="Y7" s="133"/>
      <c r="Z7" s="132">
        <f t="shared" si="0"/>
        <v>0</v>
      </c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7"/>
      <c r="AL7" s="137"/>
      <c r="AM7" s="137"/>
      <c r="AN7" s="137"/>
      <c r="AO7" s="137"/>
      <c r="AP7" s="137"/>
      <c r="AQ7" s="137"/>
      <c r="AR7" s="137"/>
      <c r="AS7" s="137"/>
      <c r="AT7" s="132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8">
        <f t="shared" si="1"/>
        <v>0</v>
      </c>
      <c r="BW7" s="138"/>
      <c r="BX7" s="138"/>
      <c r="BY7" s="138"/>
      <c r="BZ7" s="133">
        <f t="shared" si="8"/>
        <v>0</v>
      </c>
      <c r="CA7" s="137"/>
      <c r="CB7" s="139"/>
      <c r="CC7" s="138">
        <v>1</v>
      </c>
      <c r="CD7" s="138">
        <f t="shared" si="2"/>
        <v>0</v>
      </c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  <c r="CU7" s="137"/>
      <c r="CV7" s="137"/>
      <c r="CW7" s="137"/>
      <c r="CX7" s="137"/>
      <c r="CY7" s="137"/>
      <c r="CZ7" s="137"/>
      <c r="DA7" s="137"/>
      <c r="DB7" s="137"/>
      <c r="DC7" s="137"/>
      <c r="DD7" s="137"/>
      <c r="DE7" s="137"/>
      <c r="DF7" s="137"/>
      <c r="DG7" s="137"/>
      <c r="DH7" s="137"/>
      <c r="DI7" s="137"/>
      <c r="DJ7" s="137"/>
      <c r="DK7" s="137"/>
      <c r="DL7" s="137"/>
      <c r="DM7" s="137"/>
      <c r="DN7" s="137"/>
      <c r="DO7" s="137"/>
      <c r="DP7" s="137"/>
      <c r="DQ7" s="137"/>
      <c r="DR7" s="137"/>
      <c r="DS7" s="137"/>
      <c r="DT7" s="140"/>
      <c r="DU7" s="141">
        <f t="shared" si="3"/>
        <v>0</v>
      </c>
      <c r="DV7" s="142"/>
      <c r="DW7" s="137"/>
      <c r="DX7" s="137"/>
      <c r="DY7" s="137"/>
      <c r="DZ7" s="137"/>
      <c r="EA7" s="137"/>
      <c r="EB7" s="137"/>
      <c r="EC7" s="132">
        <v>1</v>
      </c>
      <c r="ED7" s="137"/>
      <c r="EE7" s="137">
        <v>3</v>
      </c>
      <c r="EF7" s="137"/>
      <c r="EG7" s="137"/>
      <c r="EH7" s="138">
        <v>4</v>
      </c>
      <c r="EI7" s="137"/>
      <c r="EJ7" s="137"/>
      <c r="EK7" s="137"/>
      <c r="EL7" s="137"/>
      <c r="EM7" s="137"/>
      <c r="EN7" s="137"/>
      <c r="EO7" s="143">
        <f t="shared" si="5"/>
        <v>0</v>
      </c>
      <c r="EP7" s="133"/>
      <c r="EQ7" s="133"/>
      <c r="ER7" s="133"/>
      <c r="ES7" s="133"/>
      <c r="ET7" s="133"/>
      <c r="EU7" s="133"/>
      <c r="EV7" s="133"/>
      <c r="EW7" s="133"/>
      <c r="EX7" s="137"/>
      <c r="EY7" s="143">
        <v>1</v>
      </c>
      <c r="EZ7" s="137">
        <v>0.06</v>
      </c>
      <c r="FA7" s="137">
        <v>0.05</v>
      </c>
      <c r="FB7" s="143">
        <f t="shared" si="6"/>
        <v>1.11</v>
      </c>
      <c r="FC7" s="137"/>
      <c r="FD7" s="144">
        <f t="shared" si="9"/>
        <v>9</v>
      </c>
      <c r="FE7" s="145" t="s">
        <v>166</v>
      </c>
      <c r="FF7" s="146">
        <f t="shared" si="10"/>
        <v>2</v>
      </c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</row>
    <row r="8" s="32" customFormat="1" ht="19" customHeight="1" spans="1:181">
      <c r="A8" s="148">
        <v>4</v>
      </c>
      <c r="B8" s="148" t="s">
        <v>167</v>
      </c>
      <c r="C8" s="148"/>
      <c r="D8" s="152"/>
      <c r="E8" s="152"/>
      <c r="F8" s="152"/>
      <c r="G8" s="152"/>
      <c r="H8" s="135">
        <f t="shared" si="7"/>
        <v>5</v>
      </c>
      <c r="I8" s="148"/>
      <c r="J8" s="148"/>
      <c r="K8" s="148"/>
      <c r="L8" s="148"/>
      <c r="M8" s="148"/>
      <c r="N8" s="150"/>
      <c r="O8" s="148"/>
      <c r="P8" s="148"/>
      <c r="Q8" s="148"/>
      <c r="R8" s="148"/>
      <c r="S8" s="148"/>
      <c r="T8" s="150"/>
      <c r="U8" s="148"/>
      <c r="V8" s="148"/>
      <c r="W8" s="148"/>
      <c r="X8" s="148"/>
      <c r="Y8" s="148"/>
      <c r="Z8" s="148">
        <f t="shared" si="0"/>
        <v>0</v>
      </c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51">
        <f t="shared" si="1"/>
        <v>0</v>
      </c>
      <c r="BW8" s="151"/>
      <c r="BX8" s="151"/>
      <c r="BY8" s="151"/>
      <c r="BZ8" s="152">
        <f t="shared" si="8"/>
        <v>0</v>
      </c>
      <c r="CA8" s="148"/>
      <c r="CB8" s="150"/>
      <c r="CC8" s="151">
        <v>1</v>
      </c>
      <c r="CD8" s="151">
        <f t="shared" si="2"/>
        <v>0</v>
      </c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53"/>
      <c r="DU8" s="154">
        <f t="shared" si="3"/>
        <v>0</v>
      </c>
      <c r="DV8" s="155"/>
      <c r="DW8" s="148"/>
      <c r="DX8" s="148"/>
      <c r="DY8" s="148"/>
      <c r="DZ8" s="148"/>
      <c r="EA8" s="148"/>
      <c r="EB8" s="162"/>
      <c r="EC8" s="148">
        <v>1</v>
      </c>
      <c r="ED8" s="148"/>
      <c r="EE8" s="148">
        <v>3</v>
      </c>
      <c r="EF8" s="148"/>
      <c r="EG8" s="148"/>
      <c r="EH8" s="151">
        <f t="shared" si="4"/>
        <v>4</v>
      </c>
      <c r="EI8" s="148">
        <v>0.5</v>
      </c>
      <c r="EJ8" s="148"/>
      <c r="EK8" s="148"/>
      <c r="EL8" s="148"/>
      <c r="EM8" s="148"/>
      <c r="EN8" s="148"/>
      <c r="EO8" s="157">
        <f t="shared" si="5"/>
        <v>0.5</v>
      </c>
      <c r="EP8" s="148"/>
      <c r="EQ8" s="148"/>
      <c r="ER8" s="148"/>
      <c r="ES8" s="148"/>
      <c r="ET8" s="148"/>
      <c r="EU8" s="148"/>
      <c r="EV8" s="148"/>
      <c r="EW8" s="148"/>
      <c r="EX8" s="148"/>
      <c r="EY8" s="157">
        <v>1</v>
      </c>
      <c r="EZ8" s="148">
        <v>0.05</v>
      </c>
      <c r="FA8" s="148">
        <v>0.03</v>
      </c>
      <c r="FB8" s="157">
        <f t="shared" si="6"/>
        <v>1.08</v>
      </c>
      <c r="FC8" s="148"/>
      <c r="FD8" s="158">
        <f t="shared" si="9"/>
        <v>9.5</v>
      </c>
      <c r="FE8" s="159" t="s">
        <v>167</v>
      </c>
      <c r="FF8" s="160">
        <f t="shared" si="10"/>
        <v>1</v>
      </c>
      <c r="FG8" s="161"/>
      <c r="FH8" s="161"/>
      <c r="FI8" s="161"/>
      <c r="FJ8" s="161"/>
      <c r="FK8" s="161"/>
      <c r="FL8" s="161"/>
      <c r="FM8" s="161"/>
      <c r="FN8" s="161"/>
      <c r="FO8" s="161"/>
      <c r="FP8" s="161"/>
      <c r="FQ8" s="161"/>
      <c r="FR8" s="161"/>
      <c r="FS8" s="161"/>
      <c r="FT8" s="161"/>
      <c r="FU8" s="161"/>
      <c r="FV8" s="161"/>
      <c r="FW8" s="161"/>
      <c r="FX8" s="161"/>
      <c r="FY8" s="161"/>
    </row>
    <row r="9" s="31" customFormat="1" ht="19" customHeight="1" spans="1:181">
      <c r="A9" s="132">
        <v>5</v>
      </c>
      <c r="B9" s="133" t="s">
        <v>168</v>
      </c>
      <c r="C9" s="133"/>
      <c r="D9" s="133"/>
      <c r="E9" s="133"/>
      <c r="F9" s="133"/>
      <c r="G9" s="133"/>
      <c r="H9" s="135">
        <f t="shared" si="7"/>
        <v>5</v>
      </c>
      <c r="I9" s="133"/>
      <c r="J9" s="133"/>
      <c r="K9" s="133"/>
      <c r="L9" s="133"/>
      <c r="M9" s="133"/>
      <c r="N9" s="136"/>
      <c r="O9" s="133"/>
      <c r="P9" s="133"/>
      <c r="Q9" s="133"/>
      <c r="R9" s="133"/>
      <c r="S9" s="133"/>
      <c r="T9" s="136"/>
      <c r="U9" s="133"/>
      <c r="V9" s="133"/>
      <c r="W9" s="133"/>
      <c r="X9" s="133"/>
      <c r="Y9" s="133"/>
      <c r="Z9" s="132">
        <f t="shared" si="0"/>
        <v>0</v>
      </c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7"/>
      <c r="AL9" s="137"/>
      <c r="AM9" s="137"/>
      <c r="AN9" s="137"/>
      <c r="AO9" s="137"/>
      <c r="AP9" s="137"/>
      <c r="AQ9" s="137"/>
      <c r="AR9" s="137"/>
      <c r="AS9" s="137"/>
      <c r="AT9" s="132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8">
        <f t="shared" si="1"/>
        <v>0</v>
      </c>
      <c r="BW9" s="138"/>
      <c r="BX9" s="138"/>
      <c r="BY9" s="138"/>
      <c r="BZ9" s="133">
        <f t="shared" si="8"/>
        <v>0</v>
      </c>
      <c r="CA9" s="137"/>
      <c r="CB9" s="139"/>
      <c r="CC9" s="138">
        <v>1</v>
      </c>
      <c r="CD9" s="138">
        <f t="shared" si="2"/>
        <v>0</v>
      </c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37"/>
      <c r="DJ9" s="137"/>
      <c r="DK9" s="137"/>
      <c r="DL9" s="137"/>
      <c r="DM9" s="137"/>
      <c r="DN9" s="137"/>
      <c r="DO9" s="137"/>
      <c r="DP9" s="137"/>
      <c r="DQ9" s="137"/>
      <c r="DR9" s="137"/>
      <c r="DS9" s="137"/>
      <c r="DT9" s="140"/>
      <c r="DU9" s="141">
        <f t="shared" si="3"/>
        <v>0</v>
      </c>
      <c r="DV9" s="142"/>
      <c r="DW9" s="137"/>
      <c r="DX9" s="137"/>
      <c r="DY9" s="137"/>
      <c r="DZ9" s="137"/>
      <c r="EA9" s="140"/>
      <c r="EB9" s="163"/>
      <c r="EC9" s="132">
        <v>1</v>
      </c>
      <c r="ED9" s="137"/>
      <c r="EE9" s="137">
        <v>1.5</v>
      </c>
      <c r="EF9" s="137"/>
      <c r="EG9" s="137"/>
      <c r="EH9" s="138">
        <f t="shared" si="4"/>
        <v>2.5</v>
      </c>
      <c r="EI9" s="148">
        <v>0.5</v>
      </c>
      <c r="EJ9" s="137"/>
      <c r="EK9" s="137"/>
      <c r="EL9" s="137"/>
      <c r="EM9" s="137"/>
      <c r="EN9" s="132"/>
      <c r="EO9" s="143">
        <f t="shared" si="5"/>
        <v>0.5</v>
      </c>
      <c r="EP9" s="133"/>
      <c r="EQ9" s="133"/>
      <c r="ER9" s="133"/>
      <c r="ES9" s="133"/>
      <c r="ET9" s="133"/>
      <c r="EU9" s="133"/>
      <c r="EV9" s="133"/>
      <c r="EW9" s="133"/>
      <c r="EX9" s="137"/>
      <c r="EY9" s="143">
        <v>1</v>
      </c>
      <c r="EZ9" s="137">
        <v>0.06</v>
      </c>
      <c r="FA9" s="137">
        <v>0.025</v>
      </c>
      <c r="FB9" s="143">
        <f t="shared" si="6"/>
        <v>1.085</v>
      </c>
      <c r="FC9" s="137"/>
      <c r="FD9" s="144">
        <f t="shared" si="9"/>
        <v>8</v>
      </c>
      <c r="FE9" s="145" t="s">
        <v>168</v>
      </c>
      <c r="FF9" s="146">
        <f t="shared" si="10"/>
        <v>4</v>
      </c>
      <c r="FG9" s="147"/>
      <c r="FH9" s="147"/>
      <c r="FI9" s="147"/>
      <c r="FJ9" s="147"/>
      <c r="FK9" s="147"/>
      <c r="FL9" s="147"/>
      <c r="FM9" s="147"/>
      <c r="FN9" s="147"/>
      <c r="FO9" s="147"/>
      <c r="FP9" s="147"/>
      <c r="FQ9" s="147"/>
      <c r="FR9" s="147"/>
      <c r="FS9" s="147"/>
      <c r="FT9" s="147"/>
      <c r="FU9" s="147"/>
      <c r="FV9" s="147"/>
      <c r="FW9" s="147"/>
      <c r="FX9" s="147"/>
      <c r="FY9" s="147"/>
    </row>
    <row r="10" s="32" customFormat="1" ht="19" customHeight="1" spans="1:181">
      <c r="A10" s="148">
        <v>6</v>
      </c>
      <c r="B10" s="152" t="s">
        <v>169</v>
      </c>
      <c r="C10" s="152"/>
      <c r="D10" s="152"/>
      <c r="E10" s="152"/>
      <c r="F10" s="152"/>
      <c r="G10" s="152"/>
      <c r="H10" s="135">
        <f t="shared" si="7"/>
        <v>5</v>
      </c>
      <c r="I10" s="152"/>
      <c r="J10" s="152"/>
      <c r="K10" s="152"/>
      <c r="L10" s="152"/>
      <c r="M10" s="152"/>
      <c r="N10" s="164"/>
      <c r="O10" s="152"/>
      <c r="P10" s="152"/>
      <c r="Q10" s="152"/>
      <c r="R10" s="152"/>
      <c r="S10" s="152"/>
      <c r="T10" s="164"/>
      <c r="U10" s="152"/>
      <c r="V10" s="152"/>
      <c r="W10" s="152"/>
      <c r="X10" s="152"/>
      <c r="Y10" s="152"/>
      <c r="Z10" s="148">
        <f t="shared" si="0"/>
        <v>0</v>
      </c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56"/>
      <c r="AL10" s="156"/>
      <c r="AM10" s="156"/>
      <c r="AN10" s="156"/>
      <c r="AO10" s="156"/>
      <c r="AP10" s="156"/>
      <c r="AQ10" s="156"/>
      <c r="AR10" s="156"/>
      <c r="AS10" s="156"/>
      <c r="AT10" s="148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1">
        <f t="shared" si="1"/>
        <v>0</v>
      </c>
      <c r="BW10" s="151"/>
      <c r="BX10" s="151"/>
      <c r="BY10" s="151"/>
      <c r="BZ10" s="152">
        <f t="shared" si="8"/>
        <v>0</v>
      </c>
      <c r="CA10" s="156"/>
      <c r="CB10" s="165"/>
      <c r="CC10" s="151">
        <v>1</v>
      </c>
      <c r="CD10" s="151">
        <f t="shared" si="2"/>
        <v>0</v>
      </c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6"/>
      <c r="DH10" s="156"/>
      <c r="DI10" s="156"/>
      <c r="DJ10" s="156"/>
      <c r="DK10" s="156"/>
      <c r="DL10" s="156"/>
      <c r="DM10" s="156"/>
      <c r="DN10" s="156"/>
      <c r="DO10" s="156"/>
      <c r="DP10" s="156"/>
      <c r="DQ10" s="156"/>
      <c r="DR10" s="156"/>
      <c r="DS10" s="156"/>
      <c r="DT10" s="166"/>
      <c r="DU10" s="154">
        <f t="shared" si="3"/>
        <v>0</v>
      </c>
      <c r="DV10" s="167"/>
      <c r="DW10" s="156"/>
      <c r="DX10" s="156"/>
      <c r="DY10" s="156"/>
      <c r="DZ10" s="156"/>
      <c r="EA10" s="156"/>
      <c r="EB10" s="156"/>
      <c r="EC10" s="148">
        <v>1</v>
      </c>
      <c r="ED10" s="156"/>
      <c r="EE10" s="156"/>
      <c r="EF10" s="156"/>
      <c r="EG10" s="156"/>
      <c r="EH10" s="151">
        <f t="shared" si="4"/>
        <v>1</v>
      </c>
      <c r="EI10" s="156"/>
      <c r="EJ10" s="156"/>
      <c r="EK10" s="156"/>
      <c r="EL10" s="156"/>
      <c r="EM10" s="156"/>
      <c r="EN10" s="156"/>
      <c r="EO10" s="157">
        <f t="shared" si="5"/>
        <v>0</v>
      </c>
      <c r="EP10" s="152"/>
      <c r="EQ10" s="152"/>
      <c r="ER10" s="152"/>
      <c r="ES10" s="152"/>
      <c r="ET10" s="152"/>
      <c r="EU10" s="152"/>
      <c r="EV10" s="152"/>
      <c r="EW10" s="152"/>
      <c r="EX10" s="156"/>
      <c r="EY10" s="157">
        <v>1</v>
      </c>
      <c r="EZ10" s="148">
        <v>0.05</v>
      </c>
      <c r="FA10" s="148">
        <v>0.015</v>
      </c>
      <c r="FB10" s="157">
        <f t="shared" si="6"/>
        <v>1.065</v>
      </c>
      <c r="FC10" s="156"/>
      <c r="FD10" s="158">
        <f t="shared" si="9"/>
        <v>6</v>
      </c>
      <c r="FE10" s="168" t="s">
        <v>169</v>
      </c>
      <c r="FF10" s="160">
        <f t="shared" si="10"/>
        <v>6</v>
      </c>
      <c r="FG10" s="161"/>
      <c r="FH10" s="161"/>
      <c r="FI10" s="161"/>
      <c r="FJ10" s="161"/>
      <c r="FK10" s="161"/>
      <c r="FL10" s="161"/>
      <c r="FM10" s="161"/>
      <c r="FN10" s="161"/>
      <c r="FO10" s="161"/>
      <c r="FP10" s="161"/>
      <c r="FQ10" s="161"/>
      <c r="FR10" s="161"/>
      <c r="FS10" s="161"/>
      <c r="FT10" s="161"/>
      <c r="FU10" s="161"/>
      <c r="FV10" s="161"/>
      <c r="FW10" s="161"/>
      <c r="FX10" s="161"/>
      <c r="FY10" s="161"/>
    </row>
    <row r="11" s="33" customFormat="1" ht="19" customHeight="1" spans="1:181">
      <c r="A11" s="132">
        <v>7</v>
      </c>
      <c r="B11" s="169" t="s">
        <v>170</v>
      </c>
      <c r="C11" s="169"/>
      <c r="D11" s="169"/>
      <c r="E11" s="169"/>
      <c r="F11" s="169"/>
      <c r="G11" s="169"/>
      <c r="H11" s="135">
        <f t="shared" si="7"/>
        <v>5</v>
      </c>
      <c r="I11" s="169"/>
      <c r="J11" s="170"/>
      <c r="K11" s="169"/>
      <c r="L11" s="169"/>
      <c r="M11" s="170"/>
      <c r="N11" s="171"/>
      <c r="O11" s="169"/>
      <c r="P11" s="169"/>
      <c r="Q11" s="169"/>
      <c r="R11" s="170"/>
      <c r="S11" s="170"/>
      <c r="T11" s="171"/>
      <c r="U11" s="169"/>
      <c r="V11" s="169"/>
      <c r="W11" s="169"/>
      <c r="X11" s="169"/>
      <c r="Y11" s="169"/>
      <c r="Z11" s="132">
        <f t="shared" si="0"/>
        <v>0</v>
      </c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69"/>
      <c r="AL11" s="169"/>
      <c r="AM11" s="169"/>
      <c r="AN11" s="169"/>
      <c r="AO11" s="169"/>
      <c r="AP11" s="169"/>
      <c r="AQ11" s="169"/>
      <c r="AR11" s="169"/>
      <c r="AS11" s="169"/>
      <c r="AT11" s="172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38">
        <f t="shared" si="1"/>
        <v>0</v>
      </c>
      <c r="BW11" s="138"/>
      <c r="BX11" s="138"/>
      <c r="BY11" s="138"/>
      <c r="BZ11" s="133">
        <f t="shared" si="8"/>
        <v>0</v>
      </c>
      <c r="CA11" s="169"/>
      <c r="CB11" s="171"/>
      <c r="CC11" s="138">
        <v>1</v>
      </c>
      <c r="CD11" s="138">
        <f t="shared" si="2"/>
        <v>0</v>
      </c>
      <c r="CE11" s="169"/>
      <c r="CF11" s="169"/>
      <c r="CG11" s="169"/>
      <c r="CH11" s="169"/>
      <c r="CI11" s="169"/>
      <c r="CJ11" s="169"/>
      <c r="CK11" s="169"/>
      <c r="CL11" s="170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73"/>
      <c r="DU11" s="141">
        <f t="shared" si="3"/>
        <v>0</v>
      </c>
      <c r="DV11" s="174"/>
      <c r="DW11" s="169"/>
      <c r="DX11" s="169"/>
      <c r="DY11" s="169"/>
      <c r="DZ11" s="169"/>
      <c r="EA11" s="169"/>
      <c r="EB11" s="169"/>
      <c r="EC11" s="132">
        <v>1</v>
      </c>
      <c r="ED11" s="169"/>
      <c r="EE11" s="169"/>
      <c r="EF11" s="169"/>
      <c r="EG11" s="169"/>
      <c r="EH11" s="138">
        <f t="shared" si="4"/>
        <v>1</v>
      </c>
      <c r="EI11" s="169"/>
      <c r="EJ11" s="169"/>
      <c r="EK11" s="169"/>
      <c r="EL11" s="169"/>
      <c r="EM11" s="169"/>
      <c r="EN11" s="169"/>
      <c r="EO11" s="143">
        <f t="shared" si="5"/>
        <v>0</v>
      </c>
      <c r="EP11" s="169"/>
      <c r="EQ11" s="169"/>
      <c r="ER11" s="169"/>
      <c r="ES11" s="169"/>
      <c r="ET11" s="169"/>
      <c r="EU11" s="169"/>
      <c r="EV11" s="169"/>
      <c r="EW11" s="169"/>
      <c r="EX11" s="169"/>
      <c r="EY11" s="175">
        <v>1</v>
      </c>
      <c r="EZ11" s="137">
        <v>0</v>
      </c>
      <c r="FA11" s="169">
        <v>0.01</v>
      </c>
      <c r="FB11" s="143">
        <f t="shared" si="6"/>
        <v>1.01</v>
      </c>
      <c r="FC11" s="169"/>
      <c r="FD11" s="144">
        <f t="shared" si="9"/>
        <v>6</v>
      </c>
      <c r="FE11" s="176" t="s">
        <v>170</v>
      </c>
      <c r="FF11" s="146">
        <f t="shared" si="10"/>
        <v>6</v>
      </c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</row>
    <row r="12" s="32" customFormat="1" ht="19" customHeight="1" spans="1:181">
      <c r="A12" s="148">
        <v>8</v>
      </c>
      <c r="B12" s="148" t="s">
        <v>171</v>
      </c>
      <c r="C12" s="148"/>
      <c r="D12" s="148"/>
      <c r="E12" s="148"/>
      <c r="F12" s="148"/>
      <c r="G12" s="148"/>
      <c r="H12" s="135">
        <f t="shared" si="7"/>
        <v>5</v>
      </c>
      <c r="I12" s="148"/>
      <c r="J12" s="148"/>
      <c r="K12" s="148"/>
      <c r="L12" s="148"/>
      <c r="M12" s="148"/>
      <c r="N12" s="150"/>
      <c r="O12" s="148"/>
      <c r="P12" s="148"/>
      <c r="Q12" s="148"/>
      <c r="R12" s="148"/>
      <c r="S12" s="148"/>
      <c r="T12" s="150"/>
      <c r="U12" s="148"/>
      <c r="V12" s="148"/>
      <c r="W12" s="148"/>
      <c r="X12" s="148"/>
      <c r="Y12" s="148"/>
      <c r="Z12" s="148">
        <f t="shared" si="0"/>
        <v>0</v>
      </c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51">
        <f t="shared" si="1"/>
        <v>0</v>
      </c>
      <c r="BW12" s="151"/>
      <c r="BX12" s="151"/>
      <c r="BY12" s="151"/>
      <c r="BZ12" s="152">
        <f t="shared" si="8"/>
        <v>0</v>
      </c>
      <c r="CA12" s="148"/>
      <c r="CB12" s="150"/>
      <c r="CC12" s="151">
        <v>1</v>
      </c>
      <c r="CD12" s="151">
        <f t="shared" si="2"/>
        <v>0</v>
      </c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77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53"/>
      <c r="DU12" s="154">
        <f t="shared" si="3"/>
        <v>0</v>
      </c>
      <c r="DV12" s="155"/>
      <c r="DW12" s="148"/>
      <c r="DX12" s="148"/>
      <c r="DY12" s="148"/>
      <c r="DZ12" s="148"/>
      <c r="EA12" s="148"/>
      <c r="EB12" s="148"/>
      <c r="EC12" s="148">
        <v>1</v>
      </c>
      <c r="ED12" s="148"/>
      <c r="EE12" s="148"/>
      <c r="EF12" s="148"/>
      <c r="EG12" s="148"/>
      <c r="EH12" s="151">
        <f t="shared" si="4"/>
        <v>1</v>
      </c>
      <c r="EI12" s="148"/>
      <c r="EJ12" s="148"/>
      <c r="EK12" s="148"/>
      <c r="EL12" s="148"/>
      <c r="EM12" s="148"/>
      <c r="EN12" s="148"/>
      <c r="EO12" s="157">
        <f t="shared" si="5"/>
        <v>0</v>
      </c>
      <c r="EP12" s="148"/>
      <c r="EQ12" s="148"/>
      <c r="ER12" s="148"/>
      <c r="ES12" s="148"/>
      <c r="ET12" s="148"/>
      <c r="EU12" s="148"/>
      <c r="EV12" s="148"/>
      <c r="EW12" s="148"/>
      <c r="EX12" s="148"/>
      <c r="EY12" s="157">
        <v>1</v>
      </c>
      <c r="EZ12" s="148">
        <v>0.05</v>
      </c>
      <c r="FA12" s="170">
        <v>0.015</v>
      </c>
      <c r="FB12" s="157">
        <f t="shared" si="6"/>
        <v>1.065</v>
      </c>
      <c r="FC12" s="148"/>
      <c r="FD12" s="158">
        <f t="shared" si="9"/>
        <v>6</v>
      </c>
      <c r="FE12" s="159" t="s">
        <v>171</v>
      </c>
      <c r="FF12" s="160">
        <f t="shared" si="10"/>
        <v>6</v>
      </c>
      <c r="FG12" s="161"/>
      <c r="FH12" s="161"/>
      <c r="FI12" s="161"/>
      <c r="FJ12" s="161"/>
      <c r="FK12" s="161"/>
      <c r="FL12" s="161"/>
      <c r="FM12" s="161"/>
      <c r="FN12" s="161"/>
      <c r="FO12" s="161"/>
      <c r="FP12" s="161"/>
      <c r="FQ12" s="161"/>
      <c r="FR12" s="161"/>
      <c r="FS12" s="161"/>
      <c r="FT12" s="161"/>
      <c r="FU12" s="161"/>
      <c r="FV12" s="161"/>
      <c r="FW12" s="161"/>
      <c r="FX12" s="161"/>
      <c r="FY12" s="161"/>
    </row>
    <row r="13" s="31" customFormat="1" ht="19" customHeight="1" spans="1:181">
      <c r="A13" s="148">
        <v>9</v>
      </c>
      <c r="B13" s="133" t="s">
        <v>172</v>
      </c>
      <c r="C13" s="133"/>
      <c r="D13" s="133"/>
      <c r="E13" s="133"/>
      <c r="F13" s="133"/>
      <c r="G13" s="133"/>
      <c r="H13" s="135">
        <f t="shared" si="7"/>
        <v>5</v>
      </c>
      <c r="I13" s="133"/>
      <c r="J13" s="133"/>
      <c r="K13" s="133"/>
      <c r="L13" s="133"/>
      <c r="M13" s="133"/>
      <c r="N13" s="136"/>
      <c r="O13" s="133"/>
      <c r="P13" s="133"/>
      <c r="Q13" s="133"/>
      <c r="R13" s="133"/>
      <c r="S13" s="133"/>
      <c r="T13" s="136"/>
      <c r="U13" s="133"/>
      <c r="V13" s="133"/>
      <c r="W13" s="133"/>
      <c r="X13" s="133"/>
      <c r="Y13" s="133"/>
      <c r="Z13" s="132">
        <f t="shared" si="0"/>
        <v>0</v>
      </c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8">
        <f t="shared" si="1"/>
        <v>0</v>
      </c>
      <c r="BW13" s="138"/>
      <c r="BX13" s="138"/>
      <c r="BY13" s="138"/>
      <c r="BZ13" s="133">
        <f t="shared" si="8"/>
        <v>0</v>
      </c>
      <c r="CA13" s="137"/>
      <c r="CB13" s="139"/>
      <c r="CC13" s="138">
        <v>1</v>
      </c>
      <c r="CD13" s="138">
        <f t="shared" si="2"/>
        <v>0</v>
      </c>
      <c r="CE13" s="137"/>
      <c r="CF13" s="137"/>
      <c r="CG13" s="137"/>
      <c r="CH13" s="137"/>
      <c r="CI13" s="137"/>
      <c r="CJ13" s="137"/>
      <c r="CK13" s="178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37"/>
      <c r="DJ13" s="137"/>
      <c r="DK13" s="137"/>
      <c r="DL13" s="137"/>
      <c r="DM13" s="137"/>
      <c r="DN13" s="137"/>
      <c r="DO13" s="137"/>
      <c r="DP13" s="137"/>
      <c r="DQ13" s="137"/>
      <c r="DR13" s="137"/>
      <c r="DS13" s="137"/>
      <c r="DT13" s="140"/>
      <c r="DU13" s="141">
        <f t="shared" si="3"/>
        <v>0</v>
      </c>
      <c r="DV13" s="142"/>
      <c r="DW13" s="137"/>
      <c r="DX13" s="137"/>
      <c r="DY13" s="137"/>
      <c r="DZ13" s="137"/>
      <c r="EA13" s="137"/>
      <c r="EB13" s="137"/>
      <c r="EC13" s="132">
        <v>1</v>
      </c>
      <c r="ED13" s="137"/>
      <c r="EE13" s="137"/>
      <c r="EF13" s="137"/>
      <c r="EG13" s="137"/>
      <c r="EH13" s="138">
        <f t="shared" si="4"/>
        <v>1</v>
      </c>
      <c r="EI13" s="137"/>
      <c r="EJ13" s="137"/>
      <c r="EK13" s="137"/>
      <c r="EL13" s="137"/>
      <c r="EM13" s="137"/>
      <c r="EN13" s="137"/>
      <c r="EO13" s="143">
        <f t="shared" si="5"/>
        <v>0</v>
      </c>
      <c r="EP13" s="133"/>
      <c r="EQ13" s="133"/>
      <c r="ER13" s="133"/>
      <c r="ES13" s="133"/>
      <c r="ET13" s="133"/>
      <c r="EU13" s="133"/>
      <c r="EV13" s="133"/>
      <c r="EW13" s="133"/>
      <c r="EX13" s="137"/>
      <c r="EY13" s="143">
        <v>1</v>
      </c>
      <c r="EZ13" s="137">
        <v>0</v>
      </c>
      <c r="FA13" s="137">
        <v>0.005</v>
      </c>
      <c r="FB13" s="143">
        <f t="shared" si="6"/>
        <v>1.005</v>
      </c>
      <c r="FC13" s="137"/>
      <c r="FD13" s="144">
        <f t="shared" si="9"/>
        <v>6</v>
      </c>
      <c r="FE13" s="145" t="s">
        <v>172</v>
      </c>
      <c r="FF13" s="146">
        <f t="shared" si="10"/>
        <v>6</v>
      </c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</row>
    <row r="14" s="32" customFormat="1" ht="19" customHeight="1" spans="1:181">
      <c r="A14" s="132">
        <v>10</v>
      </c>
      <c r="B14" s="148" t="s">
        <v>173</v>
      </c>
      <c r="C14" s="148"/>
      <c r="D14" s="148"/>
      <c r="E14" s="148"/>
      <c r="F14" s="148"/>
      <c r="G14" s="148"/>
      <c r="H14" s="135">
        <f t="shared" si="7"/>
        <v>5</v>
      </c>
      <c r="I14" s="148"/>
      <c r="J14" s="148"/>
      <c r="K14" s="148"/>
      <c r="L14" s="148"/>
      <c r="M14" s="148"/>
      <c r="N14" s="150"/>
      <c r="O14" s="148"/>
      <c r="P14" s="148"/>
      <c r="Q14" s="148"/>
      <c r="R14" s="148"/>
      <c r="S14" s="148"/>
      <c r="T14" s="150"/>
      <c r="U14" s="148"/>
      <c r="V14" s="148"/>
      <c r="W14" s="148"/>
      <c r="X14" s="148"/>
      <c r="Y14" s="148"/>
      <c r="Z14" s="148">
        <f t="shared" si="0"/>
        <v>0</v>
      </c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51">
        <f t="shared" si="1"/>
        <v>0</v>
      </c>
      <c r="BW14" s="151"/>
      <c r="BX14" s="151"/>
      <c r="BY14" s="151"/>
      <c r="BZ14" s="152">
        <f t="shared" si="8"/>
        <v>0</v>
      </c>
      <c r="CA14" s="148"/>
      <c r="CB14" s="150"/>
      <c r="CC14" s="151">
        <v>1</v>
      </c>
      <c r="CD14" s="151">
        <f t="shared" si="2"/>
        <v>0</v>
      </c>
      <c r="CE14" s="148"/>
      <c r="CF14" s="148"/>
      <c r="CG14" s="148"/>
      <c r="CH14" s="148"/>
      <c r="CI14" s="148"/>
      <c r="CJ14" s="148"/>
      <c r="CK14" s="179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53"/>
      <c r="DU14" s="154">
        <f t="shared" si="3"/>
        <v>0</v>
      </c>
      <c r="DV14" s="155"/>
      <c r="DW14" s="148"/>
      <c r="DX14" s="148"/>
      <c r="DY14" s="148"/>
      <c r="DZ14" s="148"/>
      <c r="EA14" s="148"/>
      <c r="EB14" s="148"/>
      <c r="EC14" s="148">
        <v>1</v>
      </c>
      <c r="ED14" s="148"/>
      <c r="EE14" s="148"/>
      <c r="EF14" s="148"/>
      <c r="EG14" s="148"/>
      <c r="EH14" s="151">
        <f t="shared" si="4"/>
        <v>1</v>
      </c>
      <c r="EI14" s="148"/>
      <c r="EJ14" s="148"/>
      <c r="EK14" s="148"/>
      <c r="EL14" s="148"/>
      <c r="EM14" s="148"/>
      <c r="EN14" s="148"/>
      <c r="EO14" s="157">
        <f t="shared" si="5"/>
        <v>0</v>
      </c>
      <c r="EP14" s="148"/>
      <c r="EQ14" s="148"/>
      <c r="ER14" s="148"/>
      <c r="ES14" s="148"/>
      <c r="ET14" s="148"/>
      <c r="EU14" s="148"/>
      <c r="EV14" s="148"/>
      <c r="EW14" s="148"/>
      <c r="EX14" s="148"/>
      <c r="EY14" s="157">
        <v>1</v>
      </c>
      <c r="EZ14" s="156">
        <v>0</v>
      </c>
      <c r="FA14" s="148">
        <v>0.005</v>
      </c>
      <c r="FB14" s="157">
        <f t="shared" si="6"/>
        <v>1.005</v>
      </c>
      <c r="FC14" s="148"/>
      <c r="FD14" s="158">
        <f t="shared" si="9"/>
        <v>6</v>
      </c>
      <c r="FE14" s="159" t="s">
        <v>173</v>
      </c>
      <c r="FF14" s="160">
        <f t="shared" si="10"/>
        <v>6</v>
      </c>
      <c r="FG14" s="161"/>
      <c r="FH14" s="161"/>
      <c r="FI14" s="161"/>
      <c r="FJ14" s="161"/>
      <c r="FK14" s="161"/>
      <c r="FL14" s="161"/>
      <c r="FM14" s="161"/>
      <c r="FN14" s="161"/>
      <c r="FO14" s="161"/>
      <c r="FP14" s="161"/>
      <c r="FQ14" s="161"/>
      <c r="FR14" s="161"/>
      <c r="FS14" s="161"/>
      <c r="FT14" s="161"/>
      <c r="FU14" s="161"/>
      <c r="FV14" s="161"/>
      <c r="FW14" s="161"/>
      <c r="FX14" s="161"/>
      <c r="FY14" s="161"/>
    </row>
    <row r="15" s="32" customFormat="1" ht="19" customHeight="1" spans="1:181">
      <c r="A15" s="148">
        <v>11</v>
      </c>
      <c r="B15" s="148" t="s">
        <v>174</v>
      </c>
      <c r="C15" s="148"/>
      <c r="D15" s="148"/>
      <c r="E15" s="148"/>
      <c r="F15" s="148"/>
      <c r="G15" s="148"/>
      <c r="H15" s="135">
        <f t="shared" si="7"/>
        <v>5</v>
      </c>
      <c r="I15" s="148"/>
      <c r="J15" s="148"/>
      <c r="K15" s="148"/>
      <c r="L15" s="148"/>
      <c r="M15" s="148"/>
      <c r="N15" s="150"/>
      <c r="O15" s="148"/>
      <c r="P15" s="148"/>
      <c r="Q15" s="148"/>
      <c r="R15" s="148"/>
      <c r="S15" s="148"/>
      <c r="T15" s="150"/>
      <c r="U15" s="148"/>
      <c r="V15" s="148"/>
      <c r="W15" s="148"/>
      <c r="X15" s="148"/>
      <c r="Y15" s="148"/>
      <c r="Z15" s="148">
        <f t="shared" si="0"/>
        <v>0</v>
      </c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51">
        <f t="shared" si="1"/>
        <v>0</v>
      </c>
      <c r="BW15" s="151"/>
      <c r="BX15" s="151"/>
      <c r="BY15" s="151"/>
      <c r="BZ15" s="152">
        <f t="shared" si="8"/>
        <v>0</v>
      </c>
      <c r="CA15" s="148"/>
      <c r="CB15" s="150"/>
      <c r="CC15" s="151">
        <v>1</v>
      </c>
      <c r="CD15" s="151">
        <f t="shared" si="2"/>
        <v>0</v>
      </c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53"/>
      <c r="DU15" s="154">
        <f t="shared" si="3"/>
        <v>0</v>
      </c>
      <c r="DV15" s="155"/>
      <c r="DW15" s="148"/>
      <c r="DX15" s="148"/>
      <c r="DY15" s="148"/>
      <c r="DZ15" s="148"/>
      <c r="EA15" s="148"/>
      <c r="EB15" s="148"/>
      <c r="EC15" s="148">
        <v>1</v>
      </c>
      <c r="ED15" s="148"/>
      <c r="EE15" s="148"/>
      <c r="EF15" s="148"/>
      <c r="EG15" s="148"/>
      <c r="EH15" s="151">
        <f t="shared" si="4"/>
        <v>1</v>
      </c>
      <c r="EI15" s="148"/>
      <c r="EJ15" s="148"/>
      <c r="EK15" s="148"/>
      <c r="EL15" s="148"/>
      <c r="EM15" s="148"/>
      <c r="EN15" s="148"/>
      <c r="EO15" s="157">
        <f t="shared" si="5"/>
        <v>0</v>
      </c>
      <c r="EP15" s="148"/>
      <c r="EQ15" s="148"/>
      <c r="ER15" s="148"/>
      <c r="ES15" s="148"/>
      <c r="ET15" s="148"/>
      <c r="EU15" s="148"/>
      <c r="EV15" s="148"/>
      <c r="EW15" s="148"/>
      <c r="EX15" s="148"/>
      <c r="EY15" s="157">
        <v>1</v>
      </c>
      <c r="EZ15" s="156">
        <v>0</v>
      </c>
      <c r="FA15" s="148">
        <v>0</v>
      </c>
      <c r="FB15" s="157">
        <f t="shared" si="6"/>
        <v>1</v>
      </c>
      <c r="FC15" s="148"/>
      <c r="FD15" s="158">
        <f t="shared" si="9"/>
        <v>6</v>
      </c>
      <c r="FE15" s="159" t="s">
        <v>174</v>
      </c>
      <c r="FF15" s="160">
        <f t="shared" si="10"/>
        <v>6</v>
      </c>
      <c r="FG15" s="161"/>
      <c r="FH15" s="161"/>
      <c r="FI15" s="161"/>
      <c r="FJ15" s="161"/>
      <c r="FK15" s="161"/>
      <c r="FL15" s="161"/>
      <c r="FM15" s="161"/>
      <c r="FN15" s="161"/>
      <c r="FO15" s="161"/>
      <c r="FP15" s="161"/>
      <c r="FQ15" s="161"/>
      <c r="FR15" s="161"/>
      <c r="FS15" s="161"/>
      <c r="FT15" s="161"/>
      <c r="FU15" s="161"/>
      <c r="FV15" s="161"/>
      <c r="FW15" s="161"/>
      <c r="FX15" s="161"/>
      <c r="FY15" s="161"/>
    </row>
    <row r="16" s="31" customFormat="1" ht="19" customHeight="1" spans="1:181">
      <c r="A16" s="148">
        <v>12</v>
      </c>
      <c r="B16" s="180" t="s">
        <v>175</v>
      </c>
      <c r="C16" s="132"/>
      <c r="D16" s="132"/>
      <c r="E16" s="132"/>
      <c r="F16" s="132"/>
      <c r="G16" s="132"/>
      <c r="H16" s="135">
        <f t="shared" si="7"/>
        <v>5</v>
      </c>
      <c r="I16" s="132"/>
      <c r="J16" s="132"/>
      <c r="K16" s="132"/>
      <c r="L16" s="132"/>
      <c r="M16" s="132"/>
      <c r="N16" s="181"/>
      <c r="O16" s="132"/>
      <c r="P16" s="132"/>
      <c r="Q16" s="132"/>
      <c r="R16" s="132"/>
      <c r="S16" s="132"/>
      <c r="T16" s="181"/>
      <c r="U16" s="132"/>
      <c r="V16" s="132"/>
      <c r="W16" s="132"/>
      <c r="X16" s="132"/>
      <c r="Y16" s="132"/>
      <c r="Z16" s="132">
        <f t="shared" si="0"/>
        <v>0</v>
      </c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48"/>
      <c r="BT16" s="132"/>
      <c r="BU16" s="132"/>
      <c r="BV16" s="138">
        <f t="shared" si="1"/>
        <v>0</v>
      </c>
      <c r="BW16" s="182"/>
      <c r="BX16" s="138"/>
      <c r="BY16" s="138"/>
      <c r="BZ16" s="133">
        <f t="shared" si="8"/>
        <v>0</v>
      </c>
      <c r="CA16" s="132"/>
      <c r="CB16" s="181"/>
      <c r="CC16" s="138">
        <v>1</v>
      </c>
      <c r="CD16" s="138">
        <f t="shared" si="2"/>
        <v>0</v>
      </c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83"/>
      <c r="DU16" s="141">
        <f t="shared" si="3"/>
        <v>0</v>
      </c>
      <c r="DV16" s="184"/>
      <c r="DW16" s="132"/>
      <c r="DX16" s="132"/>
      <c r="DY16" s="132"/>
      <c r="DZ16" s="132"/>
      <c r="EA16" s="132"/>
      <c r="EB16" s="132"/>
      <c r="EC16" s="132">
        <v>1</v>
      </c>
      <c r="ED16" s="132"/>
      <c r="EE16" s="132"/>
      <c r="EF16" s="132"/>
      <c r="EG16" s="132"/>
      <c r="EH16" s="138">
        <f t="shared" si="4"/>
        <v>1</v>
      </c>
      <c r="EI16" s="132"/>
      <c r="EJ16" s="132"/>
      <c r="EK16" s="132"/>
      <c r="EL16" s="132"/>
      <c r="EM16" s="132"/>
      <c r="EN16" s="132"/>
      <c r="EO16" s="143">
        <f t="shared" si="5"/>
        <v>0</v>
      </c>
      <c r="EP16" s="132"/>
      <c r="EQ16" s="132"/>
      <c r="ER16" s="132"/>
      <c r="ES16" s="132"/>
      <c r="ET16" s="132"/>
      <c r="EU16" s="132"/>
      <c r="EV16" s="132"/>
      <c r="EW16" s="132"/>
      <c r="EX16" s="132"/>
      <c r="EY16" s="143">
        <v>1</v>
      </c>
      <c r="EZ16" s="137">
        <v>0.06</v>
      </c>
      <c r="FA16" s="132">
        <v>0.015</v>
      </c>
      <c r="FB16" s="143">
        <f t="shared" si="6"/>
        <v>1.075</v>
      </c>
      <c r="FC16" s="132"/>
      <c r="FD16" s="144">
        <f t="shared" si="9"/>
        <v>6</v>
      </c>
      <c r="FE16" s="185" t="s">
        <v>175</v>
      </c>
      <c r="FF16" s="146">
        <f t="shared" si="10"/>
        <v>6</v>
      </c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</row>
    <row r="17" s="31" customFormat="1" ht="19" customHeight="1" spans="1:181">
      <c r="A17" s="132">
        <v>13</v>
      </c>
      <c r="B17" s="180" t="s">
        <v>176</v>
      </c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CZ17" s="180"/>
      <c r="DA17" s="180"/>
      <c r="DB17" s="180"/>
      <c r="DC17" s="180"/>
      <c r="DD17" s="180"/>
      <c r="DE17" s="180"/>
      <c r="DF17" s="180"/>
      <c r="DG17" s="180"/>
      <c r="DH17" s="180"/>
      <c r="DI17" s="180"/>
      <c r="DJ17" s="180"/>
      <c r="DK17" s="180"/>
      <c r="DL17" s="180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  <c r="DW17" s="180"/>
      <c r="DX17" s="180"/>
      <c r="DY17" s="180"/>
      <c r="DZ17" s="180"/>
      <c r="EA17" s="180"/>
      <c r="EB17" s="180"/>
      <c r="EC17" s="180"/>
      <c r="ED17" s="180"/>
      <c r="EE17" s="180"/>
      <c r="EF17" s="180"/>
      <c r="EG17" s="180"/>
      <c r="EH17" s="180"/>
      <c r="EI17" s="180"/>
      <c r="EJ17" s="180"/>
      <c r="EK17" s="180"/>
      <c r="EL17" s="180"/>
      <c r="EM17" s="180"/>
      <c r="EN17" s="180"/>
      <c r="EO17" s="180"/>
      <c r="EP17" s="180"/>
      <c r="EQ17" s="180"/>
      <c r="ER17" s="180"/>
      <c r="ES17" s="180"/>
      <c r="ET17" s="180"/>
      <c r="EU17" s="180"/>
      <c r="EV17" s="180"/>
      <c r="EW17" s="180"/>
      <c r="EX17" s="180"/>
      <c r="EY17" s="180"/>
      <c r="EZ17" s="180"/>
      <c r="FA17" s="180"/>
      <c r="FB17" s="180"/>
      <c r="FC17" s="180"/>
      <c r="FD17" s="180"/>
      <c r="FE17" s="180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</row>
    <row r="18" s="31" customFormat="1" ht="19" customHeight="1" spans="1:181">
      <c r="A18" s="132">
        <v>14</v>
      </c>
      <c r="B18" s="180" t="s">
        <v>177</v>
      </c>
      <c r="C18" s="180"/>
      <c r="D18" s="180"/>
      <c r="E18" s="180"/>
      <c r="F18" s="180"/>
      <c r="G18" s="180"/>
      <c r="H18" s="180"/>
      <c r="I18" s="180"/>
      <c r="J18" s="132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 t="s">
        <v>177</v>
      </c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80"/>
      <c r="CT18" s="180"/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80"/>
      <c r="EC18" s="180"/>
      <c r="ED18" s="180"/>
      <c r="EE18" s="180"/>
      <c r="EF18" s="180"/>
      <c r="EG18" s="180"/>
      <c r="EH18" s="180"/>
      <c r="EI18" s="180"/>
      <c r="EJ18" s="180"/>
      <c r="EK18" s="180"/>
      <c r="EL18" s="180"/>
      <c r="EM18" s="180"/>
      <c r="EN18" s="180"/>
      <c r="EO18" s="180"/>
      <c r="EP18" s="180"/>
      <c r="EQ18" s="180"/>
      <c r="ER18" s="180"/>
      <c r="ES18" s="180"/>
      <c r="ET18" s="180"/>
      <c r="EU18" s="180"/>
      <c r="EV18" s="180"/>
      <c r="EW18" s="180"/>
      <c r="EX18" s="180"/>
      <c r="EY18" s="180"/>
      <c r="EZ18" s="180"/>
      <c r="FA18" s="180"/>
      <c r="FB18" s="180"/>
      <c r="FC18" s="180"/>
      <c r="FD18" s="180"/>
      <c r="FE18" s="180"/>
      <c r="FF18" s="147"/>
      <c r="FG18" s="147"/>
      <c r="FH18" s="147"/>
      <c r="FI18" s="147"/>
      <c r="FJ18" s="147"/>
      <c r="FK18" s="147"/>
      <c r="FL18" s="147"/>
      <c r="FM18" s="147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</row>
    <row r="19" s="31" customFormat="1" ht="19" customHeight="1" spans="1:181">
      <c r="A19" s="132">
        <v>15</v>
      </c>
      <c r="B19" s="180" t="s">
        <v>178</v>
      </c>
      <c r="C19" s="180"/>
      <c r="D19" s="180"/>
      <c r="E19" s="180"/>
      <c r="F19" s="180"/>
      <c r="G19" s="180"/>
      <c r="H19" s="180"/>
      <c r="I19" s="180"/>
      <c r="J19" s="132"/>
      <c r="K19" s="180"/>
      <c r="L19" s="132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 t="s">
        <v>178</v>
      </c>
      <c r="CC19" s="180"/>
      <c r="CD19" s="180"/>
      <c r="CE19" s="180"/>
      <c r="CF19" s="180"/>
      <c r="CG19" s="180"/>
      <c r="CH19" s="180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80"/>
      <c r="CT19" s="180"/>
      <c r="CU19" s="180"/>
      <c r="CV19" s="180"/>
      <c r="CW19" s="180"/>
      <c r="CX19" s="180"/>
      <c r="CY19" s="180"/>
      <c r="CZ19" s="180"/>
      <c r="DA19" s="180"/>
      <c r="DB19" s="180"/>
      <c r="DC19" s="180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0"/>
      <c r="DQ19" s="180"/>
      <c r="DR19" s="180"/>
      <c r="DS19" s="180"/>
      <c r="DT19" s="180"/>
      <c r="DU19" s="180"/>
      <c r="DV19" s="180"/>
      <c r="DW19" s="180"/>
      <c r="DX19" s="180"/>
      <c r="DY19" s="180"/>
      <c r="DZ19" s="180"/>
      <c r="EA19" s="180"/>
      <c r="EB19" s="180"/>
      <c r="EC19" s="180"/>
      <c r="ED19" s="180"/>
      <c r="EE19" s="180"/>
      <c r="EF19" s="180"/>
      <c r="EG19" s="180"/>
      <c r="EH19" s="180"/>
      <c r="EI19" s="180"/>
      <c r="EJ19" s="180"/>
      <c r="EK19" s="180"/>
      <c r="EL19" s="180"/>
      <c r="EM19" s="180"/>
      <c r="EN19" s="180"/>
      <c r="EO19" s="180"/>
      <c r="EP19" s="180"/>
      <c r="EQ19" s="180"/>
      <c r="ER19" s="180"/>
      <c r="ES19" s="180"/>
      <c r="ET19" s="180"/>
      <c r="EU19" s="180"/>
      <c r="EV19" s="180"/>
      <c r="EW19" s="180"/>
      <c r="EX19" s="180"/>
      <c r="EY19" s="180"/>
      <c r="EZ19" s="180"/>
      <c r="FA19" s="180"/>
      <c r="FB19" s="180"/>
      <c r="FC19" s="180"/>
      <c r="FD19" s="180"/>
      <c r="FE19" s="180"/>
      <c r="FF19" s="147"/>
      <c r="FG19" s="147"/>
      <c r="FH19" s="147"/>
      <c r="FI19" s="147"/>
      <c r="FJ19" s="147"/>
      <c r="FK19" s="147"/>
      <c r="FL19" s="147"/>
      <c r="FM19" s="147"/>
      <c r="FN19" s="147"/>
      <c r="FO19" s="147"/>
      <c r="FP19" s="147"/>
      <c r="FQ19" s="147"/>
      <c r="FR19" s="147"/>
      <c r="FS19" s="147"/>
      <c r="FT19" s="147"/>
      <c r="FU19" s="147"/>
      <c r="FV19" s="147"/>
      <c r="FW19" s="147"/>
      <c r="FX19" s="147"/>
      <c r="FY19" s="147"/>
    </row>
    <row r="20" s="34" customFormat="1" spans="1:181">
      <c r="N20" s="186"/>
      <c r="O20" s="34"/>
      <c r="P20" s="34"/>
      <c r="Q20" s="34"/>
      <c r="R20" s="34"/>
      <c r="S20" s="34"/>
      <c r="T20" s="186"/>
      <c r="U20" s="34"/>
      <c r="V20" s="34"/>
      <c r="W20" s="34"/>
      <c r="X20" s="34"/>
      <c r="Y20" s="34"/>
      <c r="Z20" s="34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CB20" s="186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187"/>
      <c r="EC20" s="187"/>
      <c r="FD20" s="188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</row>
    <row r="21" s="34" customFormat="1" spans="1:181">
      <c r="N21" s="186"/>
      <c r="O21" s="34"/>
      <c r="P21" s="34"/>
      <c r="Q21" s="34"/>
      <c r="R21" s="34"/>
      <c r="S21" s="34"/>
      <c r="T21" s="186"/>
      <c r="U21" s="34"/>
      <c r="V21" s="34"/>
      <c r="W21" s="34"/>
      <c r="X21" s="34"/>
      <c r="Y21" s="34"/>
      <c r="Z21" s="34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CB21" s="186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187"/>
      <c r="EC21" s="187"/>
      <c r="FD21" s="188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</row>
    <row r="22" s="34" customFormat="1" spans="1:181">
      <c r="N22" s="186"/>
      <c r="O22" s="34"/>
      <c r="P22" s="34"/>
      <c r="Q22" s="34"/>
      <c r="R22" s="34"/>
      <c r="S22" s="34"/>
      <c r="T22" s="186"/>
      <c r="U22" s="34"/>
      <c r="V22" s="34"/>
      <c r="W22" s="34"/>
      <c r="X22" s="34"/>
      <c r="Y22" s="34"/>
      <c r="Z22" s="34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CB22" s="186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187"/>
      <c r="EC22" s="187"/>
      <c r="FD22" s="188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</row>
    <row r="23" s="34" customFormat="1" spans="1:181">
      <c r="N23" s="186"/>
      <c r="O23" s="34"/>
      <c r="P23" s="34"/>
      <c r="Q23" s="34"/>
      <c r="R23" s="34"/>
      <c r="S23" s="34"/>
      <c r="T23" s="186"/>
      <c r="U23" s="34"/>
      <c r="V23" s="34"/>
      <c r="W23" s="34"/>
      <c r="X23" s="34"/>
      <c r="Y23" s="34"/>
      <c r="Z23" s="34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CB23" s="186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187"/>
      <c r="EC23" s="187"/>
      <c r="FD23" s="188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</row>
    <row r="24" s="34" customFormat="1" spans="1:181">
      <c r="N24" s="186"/>
      <c r="O24" s="34"/>
      <c r="P24" s="34"/>
      <c r="Q24" s="34"/>
      <c r="R24" s="34"/>
      <c r="S24" s="34"/>
      <c r="T24" s="186"/>
      <c r="U24" s="34"/>
      <c r="V24" s="34"/>
      <c r="W24" s="34"/>
      <c r="X24" s="34"/>
      <c r="Y24" s="34"/>
      <c r="Z24" s="34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CB24" s="186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187"/>
      <c r="EC24" s="187"/>
      <c r="FD24" s="188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</row>
    <row r="25" s="34" customFormat="1" spans="1:181">
      <c r="N25" s="186"/>
      <c r="O25" s="34"/>
      <c r="P25" s="34"/>
      <c r="Q25" s="34"/>
      <c r="R25" s="34"/>
      <c r="S25" s="34"/>
      <c r="T25" s="186"/>
      <c r="U25" s="34"/>
      <c r="V25" s="34"/>
      <c r="W25" s="34"/>
      <c r="X25" s="34"/>
      <c r="Y25" s="34"/>
      <c r="Z25" s="34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CB25" s="186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187"/>
      <c r="EC25" s="187"/>
      <c r="FD25" s="188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</row>
    <row r="26" s="34" customFormat="1" spans="1:181">
      <c r="N26" s="186"/>
      <c r="O26" s="34"/>
      <c r="P26" s="34"/>
      <c r="Q26" s="34"/>
      <c r="R26" s="34"/>
      <c r="S26" s="34"/>
      <c r="T26" s="186"/>
      <c r="U26" s="34"/>
      <c r="V26" s="34"/>
      <c r="W26" s="34"/>
      <c r="X26" s="34"/>
      <c r="Y26" s="34"/>
      <c r="Z26" s="34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CB26" s="186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187"/>
      <c r="EC26" s="187"/>
      <c r="FD26" s="188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</row>
    <row r="27" s="34" customFormat="1" spans="1:181">
      <c r="N27" s="186"/>
      <c r="O27" s="34"/>
      <c r="P27" s="34"/>
      <c r="Q27" s="34"/>
      <c r="R27" s="34"/>
      <c r="S27" s="34"/>
      <c r="T27" s="186"/>
      <c r="U27" s="34"/>
      <c r="V27" s="34"/>
      <c r="W27" s="34"/>
      <c r="X27" s="34"/>
      <c r="Y27" s="34"/>
      <c r="Z27" s="34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CB27" s="186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187"/>
      <c r="EC27" s="187"/>
      <c r="FD27" s="188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</row>
    <row r="28" s="34" customFormat="1" spans="1:181">
      <c r="N28" s="186"/>
      <c r="O28" s="34"/>
      <c r="P28" s="34"/>
      <c r="Q28" s="34"/>
      <c r="R28" s="34"/>
      <c r="S28" s="34"/>
      <c r="T28" s="186"/>
      <c r="U28" s="34"/>
      <c r="V28" s="34"/>
      <c r="W28" s="34"/>
      <c r="X28" s="34"/>
      <c r="Y28" s="34"/>
      <c r="Z28" s="34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CB28" s="186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187"/>
      <c r="EC28" s="187"/>
      <c r="FD28" s="188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</row>
    <row r="29" s="34" customFormat="1" spans="1:181">
      <c r="N29" s="186"/>
      <c r="O29" s="34"/>
      <c r="P29" s="34"/>
      <c r="Q29" s="34"/>
      <c r="R29" s="34"/>
      <c r="S29" s="34"/>
      <c r="T29" s="186"/>
      <c r="U29" s="34"/>
      <c r="V29" s="34"/>
      <c r="W29" s="34"/>
      <c r="X29" s="34"/>
      <c r="Y29" s="34"/>
      <c r="Z29" s="34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CB29" s="186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187"/>
      <c r="EC29" s="187"/>
      <c r="FD29" s="188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</row>
    <row r="30" s="34" customFormat="1" spans="1:181">
      <c r="N30" s="186"/>
      <c r="O30" s="34"/>
      <c r="P30" s="34"/>
      <c r="Q30" s="34"/>
      <c r="R30" s="34"/>
      <c r="S30" s="34"/>
      <c r="T30" s="186"/>
      <c r="U30" s="34"/>
      <c r="V30" s="34"/>
      <c r="W30" s="34"/>
      <c r="X30" s="34"/>
      <c r="Y30" s="34"/>
      <c r="Z30" s="34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CB30" s="186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187"/>
      <c r="EC30" s="187"/>
      <c r="FD30" s="188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</row>
    <row r="31" s="34" customFormat="1" spans="1:181">
      <c r="N31" s="186"/>
      <c r="O31" s="34"/>
      <c r="P31" s="34"/>
      <c r="Q31" s="34"/>
      <c r="R31" s="34"/>
      <c r="S31" s="34"/>
      <c r="T31" s="186"/>
      <c r="U31" s="34"/>
      <c r="V31" s="34"/>
      <c r="W31" s="34"/>
      <c r="X31" s="34"/>
      <c r="Y31" s="34"/>
      <c r="Z31" s="34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CB31" s="186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187"/>
      <c r="EC31" s="187"/>
      <c r="FD31" s="188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</row>
    <row r="32" s="34" customFormat="1" spans="1:181">
      <c r="N32" s="186"/>
      <c r="O32" s="34"/>
      <c r="P32" s="34"/>
      <c r="Q32" s="34"/>
      <c r="R32" s="34"/>
      <c r="S32" s="34"/>
      <c r="T32" s="186"/>
      <c r="U32" s="34"/>
      <c r="V32" s="34"/>
      <c r="W32" s="34"/>
      <c r="X32" s="34"/>
      <c r="Y32" s="34"/>
      <c r="Z32" s="34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CB32" s="186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187"/>
      <c r="EC32" s="187"/>
      <c r="FD32" s="188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</row>
    <row r="33" s="34" customFormat="1" spans="14:181">
      <c r="N33" s="186"/>
      <c r="O33" s="34"/>
      <c r="P33" s="34"/>
      <c r="Q33" s="34"/>
      <c r="R33" s="34"/>
      <c r="S33" s="34"/>
      <c r="T33" s="186"/>
      <c r="U33" s="34"/>
      <c r="V33" s="34"/>
      <c r="W33" s="34"/>
      <c r="X33" s="34"/>
      <c r="Y33" s="34"/>
      <c r="Z33" s="34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CB33" s="186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187"/>
      <c r="EC33" s="187"/>
      <c r="FD33" s="188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</row>
    <row r="34" s="34" customFormat="1" spans="14:181">
      <c r="N34" s="186"/>
      <c r="O34" s="34"/>
      <c r="P34" s="34"/>
      <c r="Q34" s="34"/>
      <c r="R34" s="34"/>
      <c r="S34" s="34"/>
      <c r="T34" s="186"/>
      <c r="U34" s="34"/>
      <c r="V34" s="34"/>
      <c r="W34" s="34"/>
      <c r="X34" s="34"/>
      <c r="Y34" s="34"/>
      <c r="Z34" s="34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CB34" s="186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187"/>
      <c r="EC34" s="187"/>
      <c r="FD34" s="188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</row>
    <row r="35" s="34" customFormat="1" spans="14:181">
      <c r="N35" s="186"/>
      <c r="O35" s="34"/>
      <c r="P35" s="34"/>
      <c r="Q35" s="34"/>
      <c r="R35" s="34"/>
      <c r="S35" s="34"/>
      <c r="T35" s="186"/>
      <c r="U35" s="34"/>
      <c r="V35" s="34"/>
      <c r="W35" s="34"/>
      <c r="X35" s="34"/>
      <c r="Y35" s="34"/>
      <c r="Z35" s="34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CB35" s="186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187"/>
      <c r="EC35" s="187"/>
      <c r="FD35" s="188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</row>
    <row r="36" s="34" customFormat="1" spans="14:181">
      <c r="N36" s="186"/>
      <c r="O36" s="34"/>
      <c r="P36" s="34"/>
      <c r="Q36" s="34"/>
      <c r="R36" s="34"/>
      <c r="S36" s="34"/>
      <c r="T36" s="186"/>
      <c r="U36" s="34"/>
      <c r="V36" s="34"/>
      <c r="W36" s="34"/>
      <c r="X36" s="34"/>
      <c r="Y36" s="34"/>
      <c r="Z36" s="34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CB36" s="186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187"/>
      <c r="EC36" s="187"/>
      <c r="FD36" s="188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</row>
    <row r="37" s="34" customFormat="1" spans="14:181">
      <c r="N37" s="186"/>
      <c r="O37" s="34"/>
      <c r="P37" s="34"/>
      <c r="Q37" s="34"/>
      <c r="R37" s="34"/>
      <c r="S37" s="34"/>
      <c r="T37" s="186"/>
      <c r="U37" s="34"/>
      <c r="V37" s="34"/>
      <c r="W37" s="34"/>
      <c r="X37" s="34"/>
      <c r="Y37" s="34"/>
      <c r="Z37" s="34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CB37" s="186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187"/>
      <c r="EC37" s="187"/>
      <c r="FD37" s="188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</row>
    <row r="38" s="34" customFormat="1" spans="14:181">
      <c r="N38" s="186"/>
      <c r="O38" s="34"/>
      <c r="P38" s="34"/>
      <c r="Q38" s="34"/>
      <c r="R38" s="34"/>
      <c r="S38" s="34"/>
      <c r="T38" s="186"/>
      <c r="U38" s="34"/>
      <c r="V38" s="34"/>
      <c r="W38" s="34"/>
      <c r="X38" s="34"/>
      <c r="Y38" s="34"/>
      <c r="Z38" s="34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CB38" s="186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187"/>
      <c r="EC38" s="187"/>
      <c r="FD38" s="188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</row>
    <row r="39" s="34" customFormat="1" spans="14:181">
      <c r="N39" s="186"/>
      <c r="O39" s="34"/>
      <c r="P39" s="34"/>
      <c r="Q39" s="34"/>
      <c r="R39" s="34"/>
      <c r="S39" s="34"/>
      <c r="T39" s="186"/>
      <c r="U39" s="34"/>
      <c r="V39" s="34"/>
      <c r="W39" s="34"/>
      <c r="X39" s="34"/>
      <c r="Y39" s="34"/>
      <c r="Z39" s="34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CB39" s="186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187"/>
      <c r="EC39" s="187"/>
      <c r="FD39" s="188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</row>
    <row r="40" s="34" customFormat="1" spans="14:181">
      <c r="N40" s="186"/>
      <c r="O40" s="34"/>
      <c r="P40" s="34"/>
      <c r="Q40" s="34"/>
      <c r="R40" s="34"/>
      <c r="S40" s="34"/>
      <c r="T40" s="186"/>
      <c r="U40" s="34"/>
      <c r="V40" s="34"/>
      <c r="W40" s="34"/>
      <c r="X40" s="34"/>
      <c r="Y40" s="34"/>
      <c r="Z40" s="34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CB40" s="186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187"/>
      <c r="EC40" s="187"/>
      <c r="FD40" s="188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</row>
    <row r="41" s="34" customFormat="1" spans="14:181">
      <c r="N41" s="186"/>
      <c r="O41" s="34"/>
      <c r="P41" s="34"/>
      <c r="Q41" s="34"/>
      <c r="R41" s="34"/>
      <c r="S41" s="34"/>
      <c r="T41" s="186"/>
      <c r="U41" s="34"/>
      <c r="V41" s="34"/>
      <c r="W41" s="34"/>
      <c r="X41" s="34"/>
      <c r="Y41" s="34"/>
      <c r="Z41" s="34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CB41" s="186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187"/>
      <c r="EC41" s="187"/>
      <c r="FD41" s="188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</row>
    <row r="42" s="34" customFormat="1" spans="14:181">
      <c r="N42" s="186"/>
      <c r="O42" s="34"/>
      <c r="P42" s="34"/>
      <c r="Q42" s="34"/>
      <c r="R42" s="34"/>
      <c r="S42" s="34"/>
      <c r="T42" s="186"/>
      <c r="U42" s="34"/>
      <c r="V42" s="34"/>
      <c r="W42" s="34"/>
      <c r="X42" s="34"/>
      <c r="Y42" s="34"/>
      <c r="Z42" s="34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CB42" s="186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187"/>
      <c r="EC42" s="187"/>
      <c r="FD42" s="188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</row>
    <row r="43" s="34" customFormat="1" spans="14:181">
      <c r="N43" s="186"/>
      <c r="O43" s="34"/>
      <c r="P43" s="34"/>
      <c r="Q43" s="34"/>
      <c r="R43" s="34"/>
      <c r="S43" s="34"/>
      <c r="T43" s="186"/>
      <c r="U43" s="34"/>
      <c r="V43" s="34"/>
      <c r="W43" s="34"/>
      <c r="X43" s="34"/>
      <c r="Y43" s="34"/>
      <c r="Z43" s="34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CB43" s="186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187"/>
      <c r="EC43" s="187"/>
      <c r="FD43" s="188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</row>
    <row r="44" s="34" customFormat="1" spans="14:181">
      <c r="N44" s="186"/>
      <c r="O44" s="34"/>
      <c r="P44" s="34"/>
      <c r="Q44" s="34"/>
      <c r="R44" s="34"/>
      <c r="S44" s="34"/>
      <c r="T44" s="186"/>
      <c r="U44" s="34"/>
      <c r="V44" s="34"/>
      <c r="W44" s="34"/>
      <c r="X44" s="34"/>
      <c r="Y44" s="34"/>
      <c r="Z44" s="34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CB44" s="186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187"/>
      <c r="EC44" s="187"/>
      <c r="FD44" s="188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</row>
    <row r="45" s="34" customFormat="1" spans="14:181">
      <c r="N45" s="186"/>
      <c r="O45" s="34"/>
      <c r="P45" s="34"/>
      <c r="Q45" s="34"/>
      <c r="R45" s="34"/>
      <c r="S45" s="34"/>
      <c r="T45" s="186"/>
      <c r="U45" s="34"/>
      <c r="V45" s="34"/>
      <c r="W45" s="34"/>
      <c r="X45" s="34"/>
      <c r="Y45" s="34"/>
      <c r="Z45" s="34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CB45" s="186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187"/>
      <c r="EC45" s="187"/>
      <c r="FD45" s="188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</row>
    <row r="46" s="34" customFormat="1" spans="14:181">
      <c r="N46" s="186"/>
      <c r="O46" s="34"/>
      <c r="P46" s="34"/>
      <c r="Q46" s="34"/>
      <c r="R46" s="34"/>
      <c r="S46" s="34"/>
      <c r="T46" s="186"/>
      <c r="U46" s="34"/>
      <c r="V46" s="34"/>
      <c r="W46" s="34"/>
      <c r="X46" s="34"/>
      <c r="Y46" s="34"/>
      <c r="Z46" s="34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CB46" s="186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187"/>
      <c r="EC46" s="187"/>
      <c r="FD46" s="188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</row>
    <row r="47" s="34" customFormat="1" spans="14:181">
      <c r="N47" s="186"/>
      <c r="O47" s="34"/>
      <c r="P47" s="34"/>
      <c r="Q47" s="34"/>
      <c r="R47" s="34"/>
      <c r="S47" s="34"/>
      <c r="T47" s="186"/>
      <c r="U47" s="34"/>
      <c r="V47" s="34"/>
      <c r="W47" s="34"/>
      <c r="X47" s="34"/>
      <c r="Y47" s="34"/>
      <c r="Z47" s="34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CB47" s="186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187"/>
      <c r="EC47" s="187"/>
      <c r="FD47" s="188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</row>
    <row r="48" s="34" customFormat="1" spans="14:181">
      <c r="N48" s="186"/>
      <c r="O48" s="34"/>
      <c r="P48" s="34"/>
      <c r="Q48" s="34"/>
      <c r="R48" s="34"/>
      <c r="S48" s="34"/>
      <c r="T48" s="186"/>
      <c r="U48" s="34"/>
      <c r="V48" s="34"/>
      <c r="W48" s="34"/>
      <c r="X48" s="34"/>
      <c r="Y48" s="34"/>
      <c r="Z48" s="34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CB48" s="186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187"/>
      <c r="EC48" s="187"/>
      <c r="FD48" s="188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</row>
    <row r="49" s="34" customFormat="1" spans="14:181">
      <c r="N49" s="186"/>
      <c r="O49" s="34"/>
      <c r="P49" s="34"/>
      <c r="Q49" s="34"/>
      <c r="R49" s="34"/>
      <c r="S49" s="34"/>
      <c r="T49" s="186"/>
      <c r="U49" s="34"/>
      <c r="V49" s="34"/>
      <c r="W49" s="34"/>
      <c r="X49" s="34"/>
      <c r="Y49" s="34"/>
      <c r="Z49" s="34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CB49" s="186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187"/>
      <c r="EC49" s="187"/>
      <c r="FD49" s="188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</row>
    <row r="50" s="34" customFormat="1" spans="14:181">
      <c r="N50" s="186"/>
      <c r="O50" s="34"/>
      <c r="P50" s="34"/>
      <c r="Q50" s="34"/>
      <c r="R50" s="34"/>
      <c r="S50" s="34"/>
      <c r="T50" s="186"/>
      <c r="U50" s="34"/>
      <c r="V50" s="34"/>
      <c r="W50" s="34"/>
      <c r="X50" s="34"/>
      <c r="Y50" s="34"/>
      <c r="Z50" s="34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CB50" s="186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187"/>
      <c r="EC50" s="187"/>
      <c r="FD50" s="188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</row>
    <row r="51" s="34" customFormat="1" spans="14:181">
      <c r="N51" s="186"/>
      <c r="O51" s="34"/>
      <c r="P51" s="34"/>
      <c r="Q51" s="34"/>
      <c r="R51" s="34"/>
      <c r="S51" s="34"/>
      <c r="T51" s="186"/>
      <c r="U51" s="34"/>
      <c r="V51" s="34"/>
      <c r="W51" s="34"/>
      <c r="X51" s="34"/>
      <c r="Y51" s="34"/>
      <c r="Z51" s="34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CB51" s="186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187"/>
      <c r="EC51" s="187"/>
      <c r="FD51" s="188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</row>
    <row r="52" s="34" customFormat="1" spans="14:181">
      <c r="N52" s="186"/>
      <c r="O52" s="34"/>
      <c r="P52" s="34"/>
      <c r="Q52" s="34"/>
      <c r="R52" s="34"/>
      <c r="S52" s="34"/>
      <c r="T52" s="186"/>
      <c r="U52" s="34"/>
      <c r="V52" s="34"/>
      <c r="W52" s="34"/>
      <c r="X52" s="34"/>
      <c r="Y52" s="34"/>
      <c r="Z52" s="34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CB52" s="186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187"/>
      <c r="EC52" s="187"/>
      <c r="FD52" s="188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</row>
    <row r="53" s="34" customFormat="1" spans="14:181">
      <c r="N53" s="186"/>
      <c r="O53" s="34"/>
      <c r="P53" s="34"/>
      <c r="Q53" s="34"/>
      <c r="R53" s="34"/>
      <c r="S53" s="34"/>
      <c r="T53" s="186"/>
      <c r="U53" s="34"/>
      <c r="V53" s="34"/>
      <c r="W53" s="34"/>
      <c r="X53" s="34"/>
      <c r="Y53" s="34"/>
      <c r="Z53" s="34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CB53" s="186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187"/>
      <c r="EC53" s="187"/>
      <c r="FD53" s="188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</row>
    <row r="54" s="34" customFormat="1" spans="14:181">
      <c r="N54" s="186"/>
      <c r="O54" s="34"/>
      <c r="P54" s="34"/>
      <c r="Q54" s="34"/>
      <c r="R54" s="34"/>
      <c r="S54" s="34"/>
      <c r="T54" s="186"/>
      <c r="U54" s="34"/>
      <c r="V54" s="34"/>
      <c r="W54" s="34"/>
      <c r="X54" s="34"/>
      <c r="Y54" s="34"/>
      <c r="Z54" s="34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CB54" s="186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187"/>
      <c r="EC54" s="187"/>
      <c r="FD54" s="188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</row>
    <row r="55" s="34" customFormat="1" spans="14:181">
      <c r="N55" s="186"/>
      <c r="O55" s="34"/>
      <c r="P55" s="34"/>
      <c r="Q55" s="34"/>
      <c r="R55" s="34"/>
      <c r="S55" s="34"/>
      <c r="T55" s="186"/>
      <c r="U55" s="34"/>
      <c r="V55" s="34"/>
      <c r="W55" s="34"/>
      <c r="X55" s="34"/>
      <c r="Y55" s="34"/>
      <c r="Z55" s="34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CB55" s="186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187"/>
      <c r="EC55" s="187"/>
      <c r="FD55" s="188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</row>
    <row r="56" s="34" customFormat="1" spans="14:181">
      <c r="N56" s="186"/>
      <c r="O56" s="34"/>
      <c r="P56" s="34"/>
      <c r="Q56" s="34"/>
      <c r="R56" s="34"/>
      <c r="S56" s="34"/>
      <c r="T56" s="186"/>
      <c r="U56" s="34"/>
      <c r="V56" s="34"/>
      <c r="W56" s="34"/>
      <c r="X56" s="34"/>
      <c r="Y56" s="34"/>
      <c r="Z56" s="34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CB56" s="186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187"/>
      <c r="EC56" s="187"/>
      <c r="FD56" s="188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</row>
    <row r="57" s="34" customFormat="1" spans="14:181">
      <c r="N57" s="186"/>
      <c r="O57" s="34"/>
      <c r="P57" s="34"/>
      <c r="Q57" s="34"/>
      <c r="R57" s="34"/>
      <c r="S57" s="34"/>
      <c r="T57" s="186"/>
      <c r="U57" s="34"/>
      <c r="V57" s="34"/>
      <c r="W57" s="34"/>
      <c r="X57" s="34"/>
      <c r="Y57" s="34"/>
      <c r="Z57" s="34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CB57" s="186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187"/>
      <c r="EC57" s="187"/>
      <c r="FD57" s="188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</row>
    <row r="58" s="34" customFormat="1" spans="14:181">
      <c r="N58" s="186"/>
      <c r="O58" s="34"/>
      <c r="P58" s="34"/>
      <c r="Q58" s="34"/>
      <c r="R58" s="34"/>
      <c r="S58" s="34"/>
      <c r="T58" s="186"/>
      <c r="U58" s="34"/>
      <c r="V58" s="34"/>
      <c r="W58" s="34"/>
      <c r="X58" s="34"/>
      <c r="Y58" s="34"/>
      <c r="Z58" s="34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CB58" s="186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187"/>
      <c r="EC58" s="187"/>
      <c r="FD58" s="188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</row>
    <row r="59" s="34" customFormat="1" spans="14:181">
      <c r="N59" s="186"/>
      <c r="O59" s="34"/>
      <c r="P59" s="34"/>
      <c r="Q59" s="34"/>
      <c r="R59" s="34"/>
      <c r="S59" s="34"/>
      <c r="T59" s="186"/>
      <c r="U59" s="34"/>
      <c r="V59" s="34"/>
      <c r="W59" s="34"/>
      <c r="X59" s="34"/>
      <c r="Y59" s="34"/>
      <c r="Z59" s="34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CB59" s="186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187"/>
      <c r="EC59" s="187"/>
      <c r="FD59" s="188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</row>
    <row r="60" s="34" customFormat="1" spans="14:181">
      <c r="N60" s="186"/>
      <c r="O60" s="34"/>
      <c r="P60" s="34"/>
      <c r="Q60" s="34"/>
      <c r="R60" s="34"/>
      <c r="S60" s="34"/>
      <c r="T60" s="186"/>
      <c r="U60" s="34"/>
      <c r="V60" s="34"/>
      <c r="W60" s="34"/>
      <c r="X60" s="34"/>
      <c r="Y60" s="34"/>
      <c r="Z60" s="34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CB60" s="186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187"/>
      <c r="EC60" s="187"/>
      <c r="FD60" s="188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</row>
    <row r="61" s="34" customFormat="1" spans="14:181">
      <c r="N61" s="186"/>
      <c r="O61" s="34"/>
      <c r="P61" s="34"/>
      <c r="Q61" s="34"/>
      <c r="R61" s="34"/>
      <c r="S61" s="34"/>
      <c r="T61" s="186"/>
      <c r="U61" s="34"/>
      <c r="V61" s="34"/>
      <c r="W61" s="34"/>
      <c r="X61" s="34"/>
      <c r="Y61" s="34"/>
      <c r="Z61" s="34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CB61" s="186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187"/>
      <c r="EC61" s="187"/>
      <c r="FD61" s="188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</row>
    <row r="62" s="34" customFormat="1" spans="14:181">
      <c r="N62" s="186"/>
      <c r="O62" s="34"/>
      <c r="P62" s="34"/>
      <c r="Q62" s="34"/>
      <c r="R62" s="34"/>
      <c r="S62" s="34"/>
      <c r="T62" s="186"/>
      <c r="U62" s="34"/>
      <c r="V62" s="34"/>
      <c r="W62" s="34"/>
      <c r="X62" s="34"/>
      <c r="Y62" s="34"/>
      <c r="Z62" s="34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CB62" s="186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187"/>
      <c r="EC62" s="187"/>
      <c r="FD62" s="188"/>
      <c r="FE62" s="40"/>
      <c r="FF62" s="40"/>
      <c r="FG62" s="40"/>
      <c r="FH62" s="40"/>
      <c r="FI62" s="40"/>
      <c r="FJ62" s="40"/>
      <c r="FK62" s="40"/>
      <c r="FL62" s="40"/>
      <c r="FM62" s="40"/>
      <c r="FN62" s="40"/>
      <c r="FO62" s="40"/>
      <c r="FP62" s="40"/>
      <c r="FQ62" s="40"/>
      <c r="FR62" s="40"/>
      <c r="FS62" s="40"/>
      <c r="FT62" s="40"/>
      <c r="FU62" s="40"/>
      <c r="FV62" s="40"/>
      <c r="FW62" s="40"/>
      <c r="FX62" s="40"/>
      <c r="FY62" s="40"/>
    </row>
    <row r="63" s="34" customFormat="1" spans="14:181">
      <c r="N63" s="186"/>
      <c r="O63" s="34"/>
      <c r="P63" s="34"/>
      <c r="Q63" s="34"/>
      <c r="R63" s="34"/>
      <c r="S63" s="34"/>
      <c r="T63" s="186"/>
      <c r="U63" s="34"/>
      <c r="V63" s="34"/>
      <c r="W63" s="34"/>
      <c r="X63" s="34"/>
      <c r="Y63" s="34"/>
      <c r="Z63" s="34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CB63" s="186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187"/>
      <c r="EC63" s="187"/>
      <c r="FD63" s="188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</row>
    <row r="64" s="34" customFormat="1" spans="14:181">
      <c r="N64" s="186"/>
      <c r="O64" s="34"/>
      <c r="P64" s="34"/>
      <c r="Q64" s="34"/>
      <c r="R64" s="34"/>
      <c r="S64" s="34"/>
      <c r="T64" s="186"/>
      <c r="U64" s="34"/>
      <c r="V64" s="34"/>
      <c r="W64" s="34"/>
      <c r="X64" s="34"/>
      <c r="Y64" s="34"/>
      <c r="Z64" s="34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CB64" s="186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187"/>
      <c r="EC64" s="187"/>
      <c r="FD64" s="188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  <c r="FX64" s="40"/>
      <c r="FY64" s="40"/>
    </row>
    <row r="65" s="34" customFormat="1" spans="14:181">
      <c r="N65" s="186"/>
      <c r="O65" s="34"/>
      <c r="P65" s="34"/>
      <c r="Q65" s="34"/>
      <c r="R65" s="34"/>
      <c r="S65" s="34"/>
      <c r="T65" s="186"/>
      <c r="U65" s="34"/>
      <c r="V65" s="34"/>
      <c r="W65" s="34"/>
      <c r="X65" s="34"/>
      <c r="Y65" s="34"/>
      <c r="Z65" s="34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CB65" s="186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187"/>
      <c r="EC65" s="187"/>
      <c r="FD65" s="188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</row>
    <row r="66" s="34" customFormat="1" spans="14:181">
      <c r="N66" s="186"/>
      <c r="O66" s="34"/>
      <c r="P66" s="34"/>
      <c r="Q66" s="34"/>
      <c r="R66" s="34"/>
      <c r="S66" s="34"/>
      <c r="T66" s="186"/>
      <c r="U66" s="34"/>
      <c r="V66" s="34"/>
      <c r="W66" s="34"/>
      <c r="X66" s="34"/>
      <c r="Y66" s="34"/>
      <c r="Z66" s="34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CB66" s="186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187"/>
      <c r="EC66" s="187"/>
      <c r="FD66" s="188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</row>
    <row r="67" s="34" customFormat="1" spans="14:181">
      <c r="N67" s="186"/>
      <c r="O67" s="34"/>
      <c r="P67" s="34"/>
      <c r="Q67" s="34"/>
      <c r="R67" s="34"/>
      <c r="S67" s="34"/>
      <c r="T67" s="186"/>
      <c r="U67" s="34"/>
      <c r="V67" s="34"/>
      <c r="W67" s="34"/>
      <c r="X67" s="34"/>
      <c r="Y67" s="34"/>
      <c r="Z67" s="34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CB67" s="186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187"/>
      <c r="EC67" s="187"/>
      <c r="FD67" s="188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</row>
    <row r="68" s="34" customFormat="1" spans="14:181">
      <c r="N68" s="186"/>
      <c r="O68" s="34"/>
      <c r="P68" s="34"/>
      <c r="Q68" s="34"/>
      <c r="R68" s="34"/>
      <c r="S68" s="34"/>
      <c r="T68" s="186"/>
      <c r="U68" s="34"/>
      <c r="V68" s="34"/>
      <c r="W68" s="34"/>
      <c r="X68" s="34"/>
      <c r="Y68" s="34"/>
      <c r="Z68" s="34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CB68" s="186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187"/>
      <c r="EC68" s="187"/>
      <c r="FD68" s="188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</row>
  </sheetData>
  <sheetProtection formatCells="0" formatColumns="0" formatRows="0" insertRows="0" insertColumns="0" insertHyperlinks="0" deleteColumns="0" deleteRows="0" sort="0" autoFilter="0" pivotTables="0"/>
  <protectedRanges>
    <protectedRange sqref="$A10:$XFD10" name="Range2"/>
    <protectedRange sqref="$A12:$XFD12" name="Range3"/>
    <protectedRange sqref="$A15:$XFD15" name="Range4"/>
    <protectedRange sqref="$A5:$XFD5" name="Range5"/>
    <protectedRange sqref="$A14:$XFD14" name="Range6"/>
    <protectedRange sqref="$A13:$XFD13" name="Range7"/>
    <protectedRange sqref="$A11:$XFD11" name="Range9"/>
    <protectedRange sqref="$A7:$XFD7" name="Range11"/>
    <protectedRange sqref="$A8:$XFD8" name="Range15"/>
    <protectedRange sqref="A9:EH9 EJ9:XFD9" name="Range13"/>
    <protectedRange sqref="$A6:$XFD6" name="Range16"/>
    <protectedRange sqref="A16:EZ16 FB16:XFD16" name="Range14"/>
  </protectedRanges>
  <mergeCells count="67">
    <mergeCell ref="A1:B1"/>
    <mergeCell ref="C1:H1"/>
    <mergeCell ref="I1:Z1"/>
    <mergeCell ref="AA1:BV1"/>
    <mergeCell ref="BW1:BZ1"/>
    <mergeCell ref="CA1:CD1"/>
    <mergeCell ref="CE1:DU1"/>
    <mergeCell ref="DV1:EA1"/>
    <mergeCell ref="EB1:EH1"/>
    <mergeCell ref="EI1:EO1"/>
    <mergeCell ref="EP1:EX1"/>
    <mergeCell ref="EY1:FB1"/>
    <mergeCell ref="I2:Y2"/>
    <mergeCell ref="AK2:BR2"/>
    <mergeCell ref="CE2:DT2"/>
    <mergeCell ref="I3:N3"/>
    <mergeCell ref="O3:T3"/>
    <mergeCell ref="U3:W3"/>
    <mergeCell ref="X3:Y3"/>
    <mergeCell ref="AK3:AM3"/>
    <mergeCell ref="AN3:AP3"/>
    <mergeCell ref="AQ3:AV3"/>
    <mergeCell ref="AW3:AZ3"/>
    <mergeCell ref="BA3:BD3"/>
    <mergeCell ref="BE3:BH3"/>
    <mergeCell ref="BI3:BL3"/>
    <mergeCell ref="BM3:BN3"/>
    <mergeCell ref="BO3:BR3"/>
    <mergeCell ref="CE3:CV3"/>
    <mergeCell ref="CW3:DT3"/>
    <mergeCell ref="DX3:DZ3"/>
    <mergeCell ref="EB3:EC3"/>
    <mergeCell ref="ED3:EG3"/>
    <mergeCell ref="EP3:EQ3"/>
    <mergeCell ref="ER3:ES3"/>
    <mergeCell ref="ET3:EU3"/>
    <mergeCell ref="EV3:EW3"/>
    <mergeCell ref="AT4:AU4"/>
    <mergeCell ref="AX4:AY4"/>
    <mergeCell ref="BB4:BC4"/>
    <mergeCell ref="BF4:BG4"/>
    <mergeCell ref="BJ4:BK4"/>
    <mergeCell ref="BP4:BQ4"/>
    <mergeCell ref="C2:C4"/>
    <mergeCell ref="D2:D4"/>
    <mergeCell ref="E2:E4"/>
    <mergeCell ref="F2:F4"/>
    <mergeCell ref="G2:G4"/>
    <mergeCell ref="H2:H4"/>
    <mergeCell ref="Z3:Z4"/>
    <mergeCell ref="BS3:BS4"/>
    <mergeCell ref="BV2:BV4"/>
    <mergeCell ref="BW2:BW3"/>
    <mergeCell ref="BX2:BX3"/>
    <mergeCell ref="BY2:BY3"/>
    <mergeCell ref="BZ2:BZ4"/>
    <mergeCell ref="CD2:CD4"/>
    <mergeCell ref="DU2:DU4"/>
    <mergeCell ref="EA2:EA4"/>
    <mergeCell ref="EH2:EH4"/>
    <mergeCell ref="EO2:EO4"/>
    <mergeCell ref="EX2:EX4"/>
    <mergeCell ref="FC1:FC4"/>
    <mergeCell ref="FD1:FD4"/>
    <mergeCell ref="AA2:AD3"/>
    <mergeCell ref="AE2:AJ3"/>
    <mergeCell ref="BT2:BU3"/>
  </mergeCells>
  <dataValidations count="2">
    <dataValidation allowBlank="1" showInputMessage="1" showErrorMessage="1" sqref="EQ6 ES6 EU6 EW6 EQ8 ES8 EU8 EW8 EQ12 ES12 EU12 EW12 EQ14:EQ15 ES14:ES15 EU14:EU15 EW14:EW15 AU5:AV15"/>
    <dataValidation type="list" allowBlank="1" showInputMessage="1" showErrorMessage="1" sqref="AT5:AT15 EP5:EP15 ER5:ER15 ET5:ET15 EV5:EV15">
      <formula1>#REF!</formula1>
    </dataValidation>
  </dataValidations>
  <printOptions horizontalCentered="1"/>
  <pageMargins left="0.196527777777778" right="0.196527777777778" top="0.984027777777778" bottom="0.786805555555556" header="0.511805555555556" footer="0.511805555555556"/>
  <pageSetup paperSize="8" orientation="landscape" horizontalDpi="3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190"/>
  <sheetViews>
    <sheetView workbookViewId="0">
      <selection activeCell="H12" sqref="H12:L28"/>
    </sheetView>
  </sheetViews>
  <sheetFormatPr defaultColWidth="9" defaultRowHeight="15"/>
  <sheetData>
    <row r="1" ht="19.5" customHeight="1" spans="1:12">
      <c r="A1" s="1" t="s">
        <v>179</v>
      </c>
      <c r="B1" s="2" t="s">
        <v>180</v>
      </c>
      <c r="C1" s="3" t="s">
        <v>181</v>
      </c>
      <c r="D1" s="3"/>
      <c r="E1" s="4" t="s">
        <v>182</v>
      </c>
      <c r="F1" s="4"/>
      <c r="G1" s="5"/>
      <c r="H1" s="4" t="s">
        <v>13</v>
      </c>
      <c r="I1" s="3" t="s">
        <v>181</v>
      </c>
      <c r="J1" s="3"/>
      <c r="K1" s="4" t="s">
        <v>182</v>
      </c>
      <c r="L1" s="4"/>
    </row>
    <row r="2" ht="19.5" customHeight="1" spans="1:12">
      <c r="A2" s="1"/>
      <c r="B2" s="2"/>
      <c r="C2" s="4" t="s">
        <v>183</v>
      </c>
      <c r="D2" s="4" t="s">
        <v>184</v>
      </c>
      <c r="E2" s="4" t="s">
        <v>183</v>
      </c>
      <c r="F2" s="4" t="s">
        <v>184</v>
      </c>
      <c r="G2" s="5"/>
      <c r="H2" s="4"/>
      <c r="I2" s="4" t="s">
        <v>183</v>
      </c>
      <c r="J2" s="4" t="s">
        <v>184</v>
      </c>
      <c r="K2" s="4" t="s">
        <v>183</v>
      </c>
      <c r="L2" s="4" t="s">
        <v>184</v>
      </c>
    </row>
    <row r="3" spans="1:12">
      <c r="A3" s="1"/>
      <c r="B3" s="2"/>
      <c r="C3" s="4"/>
      <c r="D3" s="4"/>
      <c r="E3" s="4"/>
      <c r="F3" s="4"/>
      <c r="G3" s="5"/>
      <c r="H3" s="4"/>
      <c r="I3" s="4"/>
      <c r="J3" s="4"/>
      <c r="K3" s="4"/>
      <c r="L3" s="4"/>
    </row>
    <row r="4" ht="14.25" customHeight="1" spans="1:12">
      <c r="A4" s="6">
        <v>1</v>
      </c>
      <c r="B4" s="7"/>
      <c r="C4" s="8"/>
      <c r="D4" s="8"/>
      <c r="E4" s="8"/>
      <c r="F4" s="8"/>
      <c r="G4" s="5"/>
      <c r="H4" s="4"/>
      <c r="I4" s="9"/>
      <c r="J4" s="9"/>
      <c r="K4" s="9"/>
      <c r="L4" s="9"/>
    </row>
    <row r="5" spans="1:12">
      <c r="A5" s="6"/>
      <c r="B5" s="10"/>
      <c r="C5" s="11"/>
      <c r="D5" s="11"/>
      <c r="E5" s="11"/>
      <c r="F5" s="11"/>
      <c r="G5" s="5"/>
      <c r="H5" s="5"/>
      <c r="I5" s="5"/>
      <c r="J5" s="5"/>
      <c r="K5" s="5"/>
      <c r="L5" s="5"/>
    </row>
    <row r="6" spans="1:12">
      <c r="A6" s="6"/>
      <c r="B6" s="10"/>
      <c r="C6" s="11"/>
      <c r="D6" s="11"/>
      <c r="E6" s="11"/>
      <c r="F6" s="11"/>
      <c r="G6" s="5"/>
      <c r="H6" s="5"/>
      <c r="I6" s="5"/>
      <c r="J6" s="5"/>
      <c r="K6" s="5"/>
      <c r="L6" s="5"/>
    </row>
    <row r="7" spans="1:12">
      <c r="A7" s="6"/>
      <c r="B7" s="10"/>
      <c r="C7" s="11"/>
      <c r="D7" s="11"/>
      <c r="E7" s="11"/>
      <c r="F7" s="11"/>
      <c r="G7" s="5"/>
      <c r="H7" s="5"/>
      <c r="I7" s="5"/>
      <c r="J7" s="5"/>
      <c r="K7" s="5"/>
      <c r="L7" s="5"/>
    </row>
    <row r="8" spans="1:12">
      <c r="A8" s="6"/>
      <c r="B8" s="10"/>
      <c r="C8" s="11"/>
      <c r="D8" s="11"/>
      <c r="E8" s="11"/>
      <c r="F8" s="11"/>
      <c r="G8" s="5"/>
      <c r="H8" s="5"/>
      <c r="I8" s="5"/>
      <c r="J8" s="5"/>
      <c r="K8" s="5"/>
      <c r="L8" s="5"/>
    </row>
    <row r="9" spans="1:12">
      <c r="A9" s="6"/>
      <c r="B9" s="10"/>
      <c r="C9" s="11"/>
      <c r="D9" s="11"/>
      <c r="E9" s="11"/>
      <c r="F9" s="11"/>
      <c r="G9" s="5"/>
      <c r="H9" s="5"/>
      <c r="I9" s="5"/>
      <c r="J9" s="5"/>
      <c r="K9" s="5"/>
      <c r="L9" s="5"/>
    </row>
    <row r="10" ht="14.25" customHeight="1" spans="1:12">
      <c r="A10" s="6">
        <v>2</v>
      </c>
      <c r="B10" s="12"/>
      <c r="C10" s="11"/>
      <c r="D10" s="11"/>
      <c r="E10" s="11"/>
      <c r="F10" s="11"/>
      <c r="G10" s="5"/>
      <c r="H10" s="5"/>
      <c r="I10" s="5"/>
      <c r="J10" s="5"/>
      <c r="K10" s="5"/>
      <c r="L10" s="5"/>
    </row>
    <row r="11" spans="1:12">
      <c r="A11" s="6"/>
      <c r="B11" s="10"/>
      <c r="C11" s="11"/>
      <c r="D11" s="11"/>
      <c r="E11" s="11"/>
      <c r="F11" s="11"/>
      <c r="G11" s="5"/>
      <c r="H11" s="5"/>
      <c r="I11" s="5"/>
      <c r="J11" s="5"/>
      <c r="K11" s="5"/>
      <c r="L11" s="5"/>
    </row>
    <row r="12" spans="1:12">
      <c r="A12" s="6"/>
      <c r="B12" s="10"/>
      <c r="C12" s="11"/>
      <c r="D12" s="11"/>
      <c r="E12" s="11"/>
      <c r="F12" s="11"/>
      <c r="G12" s="5"/>
      <c r="H12" s="13"/>
      <c r="I12" s="14"/>
      <c r="J12" s="14"/>
      <c r="K12" s="14"/>
      <c r="L12" s="14"/>
    </row>
    <row r="13" spans="1:12">
      <c r="A13" s="6"/>
      <c r="B13" s="10"/>
      <c r="C13" s="11"/>
      <c r="D13" s="11"/>
      <c r="E13" s="11"/>
      <c r="F13" s="11"/>
      <c r="G13" s="5"/>
      <c r="H13" s="14"/>
      <c r="I13" s="14"/>
      <c r="J13" s="14"/>
      <c r="K13" s="14"/>
      <c r="L13" s="14"/>
    </row>
    <row r="14" spans="1:12">
      <c r="A14" s="6"/>
      <c r="B14" s="10"/>
      <c r="C14" s="11"/>
      <c r="D14" s="11"/>
      <c r="E14" s="11"/>
      <c r="F14" s="11"/>
      <c r="G14" s="5"/>
      <c r="H14" s="14"/>
      <c r="I14" s="14"/>
      <c r="J14" s="14"/>
      <c r="K14" s="14"/>
      <c r="L14" s="14"/>
    </row>
    <row r="15" spans="1:12">
      <c r="A15" s="6"/>
      <c r="B15" s="10"/>
      <c r="C15" s="11"/>
      <c r="D15" s="11"/>
      <c r="E15" s="11"/>
      <c r="F15" s="11"/>
      <c r="G15" s="5"/>
      <c r="H15" s="14"/>
      <c r="I15" s="14"/>
      <c r="J15" s="14"/>
      <c r="K15" s="14"/>
      <c r="L15" s="14"/>
    </row>
    <row r="16" ht="14.25" customHeight="1" spans="1:12">
      <c r="A16" s="6">
        <v>3</v>
      </c>
      <c r="B16" s="10"/>
      <c r="C16" s="11"/>
      <c r="D16" s="11"/>
      <c r="E16" s="11"/>
      <c r="F16" s="11"/>
      <c r="G16" s="5"/>
      <c r="H16" s="14"/>
      <c r="I16" s="14"/>
      <c r="J16" s="14"/>
      <c r="K16" s="14"/>
      <c r="L16" s="14"/>
    </row>
    <row r="17" spans="1:12">
      <c r="A17" s="6"/>
      <c r="B17" s="10"/>
      <c r="C17" s="11"/>
      <c r="D17" s="11"/>
      <c r="E17" s="11"/>
      <c r="F17" s="11"/>
      <c r="G17" s="5"/>
      <c r="H17" s="14"/>
      <c r="I17" s="14"/>
      <c r="J17" s="14"/>
      <c r="K17" s="14"/>
      <c r="L17" s="14"/>
    </row>
    <row r="18" spans="1:12">
      <c r="A18" s="6"/>
      <c r="B18" s="10"/>
      <c r="C18" s="11"/>
      <c r="D18" s="11"/>
      <c r="E18" s="11"/>
      <c r="F18" s="11"/>
      <c r="G18" s="5"/>
      <c r="H18" s="14"/>
      <c r="I18" s="14"/>
      <c r="J18" s="14"/>
      <c r="K18" s="14"/>
      <c r="L18" s="14"/>
    </row>
    <row r="19" spans="1:12">
      <c r="A19" s="6"/>
      <c r="B19" s="10"/>
      <c r="C19" s="11"/>
      <c r="D19" s="11"/>
      <c r="E19" s="11"/>
      <c r="F19" s="11"/>
      <c r="G19" s="5"/>
      <c r="H19" s="14"/>
      <c r="I19" s="14"/>
      <c r="J19" s="14"/>
      <c r="K19" s="14"/>
      <c r="L19" s="14"/>
    </row>
    <row r="20" spans="1:12">
      <c r="A20" s="6"/>
      <c r="B20" s="10"/>
      <c r="C20" s="11"/>
      <c r="D20" s="11"/>
      <c r="E20" s="11"/>
      <c r="F20" s="11"/>
      <c r="G20" s="5"/>
      <c r="H20" s="14"/>
      <c r="I20" s="14"/>
      <c r="J20" s="14"/>
      <c r="K20" s="14"/>
      <c r="L20" s="14"/>
    </row>
    <row r="21" spans="1:12">
      <c r="A21" s="6"/>
      <c r="B21" s="10"/>
      <c r="C21" s="11"/>
      <c r="D21" s="11"/>
      <c r="E21" s="11"/>
      <c r="F21" s="11"/>
      <c r="G21" s="5"/>
      <c r="H21" s="14"/>
      <c r="I21" s="14"/>
      <c r="J21" s="14"/>
      <c r="K21" s="14"/>
      <c r="L21" s="14"/>
    </row>
    <row r="22" ht="14.25" customHeight="1" spans="1:12">
      <c r="A22" s="6">
        <v>4</v>
      </c>
      <c r="B22" s="10"/>
      <c r="C22" s="11"/>
      <c r="D22" s="11"/>
      <c r="E22" s="11"/>
      <c r="F22" s="11"/>
      <c r="G22" s="5"/>
      <c r="H22" s="14"/>
      <c r="I22" s="14"/>
      <c r="J22" s="14"/>
      <c r="K22" s="14"/>
      <c r="L22" s="14"/>
    </row>
    <row r="23" spans="1:12">
      <c r="A23" s="6"/>
      <c r="B23" s="10"/>
      <c r="C23" s="11"/>
      <c r="D23" s="11"/>
      <c r="E23" s="11"/>
      <c r="F23" s="11"/>
      <c r="G23" s="5"/>
      <c r="H23" s="14"/>
      <c r="I23" s="14"/>
      <c r="J23" s="14"/>
      <c r="K23" s="14"/>
      <c r="L23" s="14"/>
    </row>
    <row r="24" spans="1:12">
      <c r="A24" s="6"/>
      <c r="B24" s="10"/>
      <c r="C24" s="11"/>
      <c r="D24" s="11"/>
      <c r="E24" s="11"/>
      <c r="F24" s="11"/>
      <c r="G24" s="5"/>
      <c r="H24" s="14"/>
      <c r="I24" s="14"/>
      <c r="J24" s="14"/>
      <c r="K24" s="14"/>
      <c r="L24" s="14"/>
    </row>
    <row r="25" spans="1:12">
      <c r="A25" s="6"/>
      <c r="B25" s="10"/>
      <c r="C25" s="11"/>
      <c r="D25" s="11"/>
      <c r="E25" s="11"/>
      <c r="F25" s="11"/>
      <c r="G25" s="5"/>
      <c r="H25" s="14"/>
      <c r="I25" s="14"/>
      <c r="J25" s="14"/>
      <c r="K25" s="14"/>
      <c r="L25" s="14"/>
    </row>
    <row r="26" spans="1:12">
      <c r="A26" s="6"/>
      <c r="B26" s="10"/>
      <c r="C26" s="11"/>
      <c r="D26" s="11"/>
      <c r="E26" s="11"/>
      <c r="F26" s="11"/>
      <c r="G26" s="5"/>
      <c r="H26" s="14"/>
      <c r="I26" s="14"/>
      <c r="J26" s="14"/>
      <c r="K26" s="14"/>
      <c r="L26" s="14"/>
    </row>
    <row r="27" spans="1:12">
      <c r="A27" s="6"/>
      <c r="B27" s="10"/>
      <c r="C27" s="11"/>
      <c r="D27" s="11"/>
      <c r="E27" s="11"/>
      <c r="F27" s="11"/>
      <c r="G27" s="5"/>
      <c r="H27" s="14"/>
      <c r="I27" s="14"/>
      <c r="J27" s="14"/>
      <c r="K27" s="14"/>
      <c r="L27" s="14"/>
    </row>
    <row r="28" ht="16" customHeight="1" spans="1:12">
      <c r="A28" s="6">
        <v>5</v>
      </c>
      <c r="B28" s="15"/>
      <c r="C28" s="11"/>
      <c r="D28" s="11"/>
      <c r="E28" s="11"/>
      <c r="F28" s="16"/>
      <c r="G28" s="5"/>
      <c r="H28" s="14"/>
      <c r="I28" s="14"/>
      <c r="J28" s="14"/>
      <c r="K28" s="14"/>
      <c r="L28" s="14"/>
    </row>
    <row r="29" spans="1:12">
      <c r="A29" s="6"/>
      <c r="B29" s="10"/>
      <c r="C29" s="11"/>
      <c r="D29" s="11"/>
      <c r="E29" s="11"/>
      <c r="F29" s="16"/>
      <c r="G29" s="5"/>
      <c r="H29" s="5"/>
      <c r="I29" s="5"/>
      <c r="J29" s="5"/>
      <c r="K29" s="5"/>
      <c r="L29" s="5"/>
    </row>
    <row r="30" spans="1:12">
      <c r="A30" s="6"/>
      <c r="B30" s="10"/>
      <c r="C30" s="11"/>
      <c r="D30" s="11"/>
      <c r="E30" s="11"/>
      <c r="F30" s="11"/>
      <c r="G30" s="5"/>
      <c r="H30" s="5"/>
      <c r="I30" s="5"/>
      <c r="J30" s="5"/>
      <c r="K30" s="5"/>
      <c r="L30" s="5"/>
    </row>
    <row r="31" spans="1:12">
      <c r="A31" s="6"/>
      <c r="B31" s="10"/>
      <c r="C31" s="11"/>
      <c r="D31" s="11"/>
      <c r="E31" s="11"/>
      <c r="F31" s="11"/>
      <c r="G31" s="5"/>
      <c r="H31" s="5"/>
      <c r="I31" s="5"/>
      <c r="J31" s="5"/>
      <c r="K31" s="5"/>
      <c r="L31" s="5"/>
    </row>
    <row r="32" spans="1:12">
      <c r="A32" s="6"/>
      <c r="B32" s="10"/>
      <c r="C32" s="11"/>
      <c r="D32" s="11"/>
      <c r="E32" s="11"/>
      <c r="F32" s="11"/>
      <c r="G32" s="5"/>
      <c r="H32" s="5"/>
      <c r="I32" s="5"/>
      <c r="J32" s="5"/>
      <c r="K32" s="5"/>
      <c r="L32" s="5"/>
    </row>
    <row r="33" spans="1:12">
      <c r="A33" s="6"/>
      <c r="B33" s="10"/>
      <c r="C33" s="11"/>
      <c r="D33" s="11"/>
      <c r="E33" s="11"/>
      <c r="F33" s="11"/>
      <c r="G33" s="5"/>
      <c r="H33" s="5"/>
      <c r="I33" s="5"/>
      <c r="J33" s="5"/>
      <c r="K33" s="5"/>
      <c r="L33" s="5"/>
    </row>
    <row r="34" ht="14.25" customHeight="1" spans="1:12">
      <c r="A34" s="6">
        <v>6</v>
      </c>
      <c r="B34" s="10"/>
      <c r="C34" s="11"/>
      <c r="D34" s="11"/>
      <c r="E34" s="11"/>
      <c r="F34" s="11"/>
      <c r="G34" s="5"/>
      <c r="H34" s="5"/>
      <c r="I34" s="5"/>
      <c r="J34" s="5"/>
      <c r="K34" s="5"/>
      <c r="L34" s="5"/>
    </row>
    <row r="35" spans="1:12">
      <c r="A35" s="6"/>
      <c r="B35" s="10"/>
      <c r="C35" s="11"/>
      <c r="D35" s="11"/>
      <c r="E35" s="11"/>
      <c r="F35" s="11"/>
      <c r="G35" s="5"/>
      <c r="H35" s="5"/>
      <c r="I35" s="5"/>
      <c r="J35" s="5"/>
      <c r="K35" s="5"/>
      <c r="L35" s="5"/>
    </row>
    <row r="36" spans="1:12">
      <c r="A36" s="6"/>
      <c r="B36" s="10"/>
      <c r="C36" s="11"/>
      <c r="D36" s="11"/>
      <c r="E36" s="11"/>
      <c r="F36" s="11"/>
      <c r="G36" s="5"/>
      <c r="H36" s="5"/>
      <c r="I36" s="5"/>
      <c r="J36" s="5"/>
      <c r="K36" s="5"/>
      <c r="L36" s="5"/>
    </row>
    <row r="37" spans="1:12">
      <c r="A37" s="6"/>
      <c r="B37" s="10"/>
      <c r="C37" s="11"/>
      <c r="D37" s="11"/>
      <c r="E37" s="11"/>
      <c r="F37" s="11"/>
      <c r="G37" s="5"/>
      <c r="H37" s="5"/>
      <c r="I37" s="5"/>
      <c r="J37" s="5"/>
      <c r="K37" s="5"/>
      <c r="L37" s="5"/>
    </row>
    <row r="38" spans="1:12">
      <c r="A38" s="6"/>
      <c r="B38" s="10"/>
      <c r="C38" s="11"/>
      <c r="D38" s="11"/>
      <c r="E38" s="11"/>
      <c r="F38" s="11"/>
      <c r="G38" s="5"/>
      <c r="H38" s="5"/>
      <c r="I38" s="5"/>
      <c r="J38" s="5"/>
      <c r="K38" s="5"/>
      <c r="L38" s="5"/>
    </row>
    <row r="39" spans="1:12">
      <c r="A39" s="6"/>
      <c r="B39" s="10"/>
      <c r="C39" s="11"/>
      <c r="D39" s="11"/>
      <c r="E39" s="11"/>
      <c r="F39" s="11"/>
      <c r="G39" s="5"/>
      <c r="H39" s="5"/>
      <c r="I39" s="5"/>
      <c r="J39" s="5"/>
      <c r="K39" s="5"/>
      <c r="L39" s="5"/>
    </row>
    <row r="40" ht="14.25" customHeight="1" spans="1:12">
      <c r="A40" s="6">
        <v>7</v>
      </c>
      <c r="B40" s="10"/>
      <c r="C40" s="11"/>
      <c r="D40" s="11"/>
      <c r="E40" s="11"/>
      <c r="F40" s="11"/>
      <c r="G40" s="5"/>
      <c r="H40" s="5"/>
      <c r="I40" s="5"/>
      <c r="J40" s="5"/>
      <c r="K40" s="5"/>
      <c r="L40" s="5"/>
    </row>
    <row r="41" spans="1:12">
      <c r="A41" s="6"/>
      <c r="B41" s="10"/>
      <c r="C41" s="11"/>
      <c r="D41" s="11"/>
      <c r="E41" s="11"/>
      <c r="F41" s="11"/>
      <c r="G41" s="5"/>
      <c r="H41" s="5"/>
      <c r="I41" s="5"/>
      <c r="J41" s="5"/>
      <c r="K41" s="5"/>
      <c r="L41" s="5"/>
    </row>
    <row r="42" spans="1:12">
      <c r="A42" s="6"/>
      <c r="B42" s="10"/>
      <c r="C42" s="11"/>
      <c r="D42" s="11"/>
      <c r="E42" s="11"/>
      <c r="F42" s="11"/>
      <c r="G42" s="5"/>
      <c r="H42" s="5"/>
      <c r="I42" s="5"/>
      <c r="J42" s="5"/>
      <c r="K42" s="5"/>
      <c r="L42" s="5"/>
    </row>
    <row r="43" spans="1:12">
      <c r="A43" s="6"/>
      <c r="B43" s="10"/>
      <c r="C43" s="11"/>
      <c r="D43" s="11"/>
      <c r="E43" s="11"/>
      <c r="F43" s="11"/>
      <c r="G43" s="5"/>
      <c r="H43" s="5"/>
      <c r="I43" s="5"/>
      <c r="J43" s="5"/>
      <c r="K43" s="5"/>
      <c r="L43" s="5"/>
    </row>
    <row r="44" spans="1:12">
      <c r="A44" s="6"/>
      <c r="B44" s="10"/>
      <c r="C44" s="11"/>
      <c r="D44" s="11"/>
      <c r="E44" s="11"/>
      <c r="F44" s="11"/>
      <c r="G44" s="5"/>
      <c r="H44" s="5"/>
      <c r="I44" s="5"/>
      <c r="J44" s="5"/>
      <c r="K44" s="5"/>
      <c r="L44" s="5"/>
    </row>
    <row r="45" spans="1:12">
      <c r="A45" s="6"/>
      <c r="B45" s="10"/>
      <c r="C45" s="11"/>
      <c r="D45" s="11"/>
      <c r="E45" s="11"/>
      <c r="F45" s="11"/>
      <c r="G45" s="5"/>
      <c r="H45" s="5"/>
      <c r="I45" s="5"/>
      <c r="J45" s="5"/>
      <c r="K45" s="5"/>
      <c r="L45" s="5"/>
    </row>
    <row r="46" ht="14.25" customHeight="1" spans="1:12">
      <c r="A46" s="17">
        <v>8</v>
      </c>
      <c r="B46" s="12"/>
      <c r="C46" s="11"/>
      <c r="D46" s="11"/>
      <c r="E46" s="11"/>
      <c r="F46" s="11"/>
      <c r="G46" s="5"/>
      <c r="H46" s="5"/>
      <c r="I46" s="5"/>
      <c r="J46" s="5"/>
      <c r="K46" s="5"/>
      <c r="L46" s="5"/>
    </row>
    <row r="47" spans="1:12">
      <c r="A47" s="17"/>
      <c r="B47" s="10"/>
      <c r="C47" s="11"/>
      <c r="D47" s="11"/>
      <c r="E47" s="11"/>
      <c r="F47" s="11"/>
      <c r="G47" s="5"/>
      <c r="H47" s="5"/>
      <c r="I47" s="5"/>
      <c r="J47" s="5"/>
      <c r="K47" s="5"/>
      <c r="L47" s="5"/>
    </row>
    <row r="48" spans="1:12">
      <c r="A48" s="17"/>
      <c r="B48" s="10"/>
      <c r="C48" s="11"/>
      <c r="D48" s="11"/>
      <c r="E48" s="11"/>
      <c r="F48" s="11"/>
      <c r="G48" s="5"/>
      <c r="H48" s="5"/>
      <c r="I48" s="5"/>
      <c r="J48" s="5"/>
      <c r="K48" s="5"/>
      <c r="L48" s="5"/>
    </row>
    <row r="49" spans="1:12">
      <c r="A49" s="17"/>
      <c r="B49" s="18"/>
      <c r="C49" s="19"/>
      <c r="D49" s="19"/>
      <c r="E49" s="19"/>
      <c r="F49" s="19"/>
      <c r="G49" s="5"/>
      <c r="H49" s="5"/>
      <c r="I49" s="5"/>
      <c r="J49" s="5"/>
      <c r="K49" s="5"/>
      <c r="L49" s="5"/>
    </row>
    <row r="50" spans="1:12">
      <c r="A50" s="17"/>
      <c r="B50" s="20"/>
      <c r="C50" s="9"/>
      <c r="D50" s="9"/>
      <c r="E50" s="9"/>
      <c r="F50" s="9"/>
      <c r="G50" s="5"/>
      <c r="H50" s="5"/>
      <c r="I50" s="5"/>
      <c r="J50" s="5"/>
      <c r="K50" s="5"/>
      <c r="L50" s="5"/>
    </row>
    <row r="51" spans="1:12">
      <c r="A51" s="17"/>
      <c r="B51" s="20"/>
      <c r="C51" s="9"/>
      <c r="D51" s="9"/>
      <c r="E51" s="9"/>
      <c r="F51" s="9"/>
      <c r="G51" s="5"/>
      <c r="H51" s="5"/>
      <c r="I51" s="5"/>
      <c r="J51" s="5"/>
      <c r="K51" s="5"/>
      <c r="L51" s="5"/>
    </row>
    <row r="52" ht="14.25" customHeight="1" spans="1:12">
      <c r="A52" s="17">
        <v>9</v>
      </c>
      <c r="B52" s="9"/>
      <c r="C52" s="9"/>
      <c r="D52" s="9"/>
      <c r="E52" s="9"/>
      <c r="F52" s="9"/>
      <c r="G52" s="5"/>
      <c r="H52" s="5"/>
      <c r="I52" s="5"/>
      <c r="J52" s="5"/>
      <c r="K52" s="5"/>
      <c r="L52" s="5"/>
    </row>
    <row r="53" spans="1:12">
      <c r="A53" s="17"/>
      <c r="B53" s="9"/>
      <c r="C53" s="9"/>
      <c r="D53" s="9"/>
      <c r="E53" s="9"/>
      <c r="F53" s="9"/>
      <c r="G53" s="5"/>
      <c r="H53" s="5"/>
      <c r="I53" s="5"/>
      <c r="J53" s="5"/>
      <c r="K53" s="5"/>
      <c r="L53" s="5"/>
    </row>
    <row r="54" spans="1:12">
      <c r="A54" s="17"/>
      <c r="B54" s="9"/>
      <c r="C54" s="9"/>
      <c r="D54" s="9"/>
      <c r="E54" s="9"/>
      <c r="F54" s="9"/>
      <c r="G54" s="5"/>
      <c r="H54" s="5"/>
      <c r="I54" s="5"/>
      <c r="J54" s="5"/>
      <c r="K54" s="5"/>
      <c r="L54" s="5"/>
    </row>
    <row r="55" spans="1:12">
      <c r="A55" s="17"/>
      <c r="B55" s="9"/>
      <c r="C55" s="9"/>
      <c r="D55" s="9"/>
      <c r="E55" s="9"/>
      <c r="F55" s="9"/>
      <c r="G55" s="5"/>
      <c r="H55" s="5"/>
      <c r="I55" s="5"/>
      <c r="J55" s="5"/>
      <c r="K55" s="5"/>
      <c r="L55" s="5"/>
    </row>
    <row r="56" spans="1:12">
      <c r="A56" s="17"/>
      <c r="B56" s="9"/>
      <c r="C56" s="9"/>
      <c r="D56" s="9"/>
      <c r="E56" s="9"/>
      <c r="F56" s="9"/>
      <c r="G56" s="5"/>
      <c r="H56" s="5"/>
      <c r="I56" s="5"/>
      <c r="J56" s="5"/>
      <c r="K56" s="5"/>
      <c r="L56" s="5"/>
    </row>
    <row r="57" spans="1:12">
      <c r="A57" s="17"/>
      <c r="B57" s="9"/>
      <c r="C57" s="9"/>
      <c r="D57" s="9"/>
      <c r="E57" s="9"/>
      <c r="F57" s="9"/>
      <c r="G57" s="5"/>
      <c r="H57" s="5"/>
      <c r="I57" s="5"/>
      <c r="J57" s="5"/>
      <c r="K57" s="5"/>
      <c r="L57" s="5"/>
    </row>
    <row r="58" ht="14.25" customHeight="1" spans="1:12">
      <c r="A58" s="17">
        <v>10</v>
      </c>
      <c r="B58" s="20"/>
      <c r="C58" s="9"/>
      <c r="D58" s="9"/>
      <c r="E58" s="9"/>
      <c r="F58" s="9"/>
      <c r="G58" s="5"/>
      <c r="H58" s="5"/>
      <c r="I58" s="5"/>
      <c r="J58" s="5"/>
      <c r="K58" s="5"/>
      <c r="L58" s="5"/>
    </row>
    <row r="59" spans="1:12">
      <c r="A59" s="17"/>
      <c r="B59" s="20"/>
      <c r="C59" s="9"/>
      <c r="D59" s="9"/>
      <c r="E59" s="9"/>
      <c r="F59" s="9"/>
      <c r="G59" s="5"/>
      <c r="H59" s="5"/>
      <c r="I59" s="5"/>
      <c r="J59" s="5"/>
      <c r="K59" s="5"/>
      <c r="L59" s="5"/>
    </row>
    <row r="60" spans="1:12">
      <c r="A60" s="17"/>
      <c r="B60" s="20"/>
      <c r="C60" s="9"/>
      <c r="D60" s="9"/>
      <c r="E60" s="9"/>
      <c r="F60" s="9"/>
      <c r="G60" s="5"/>
      <c r="H60" s="5"/>
      <c r="I60" s="5"/>
      <c r="J60" s="5"/>
      <c r="K60" s="5"/>
      <c r="L60" s="5"/>
    </row>
    <row r="61" spans="1:12">
      <c r="A61" s="17"/>
      <c r="B61" s="20"/>
      <c r="C61" s="9"/>
      <c r="D61" s="9"/>
      <c r="E61" s="9"/>
      <c r="F61" s="9"/>
      <c r="G61" s="5"/>
      <c r="H61" s="5"/>
      <c r="I61" s="5"/>
      <c r="J61" s="5"/>
      <c r="K61" s="5"/>
      <c r="L61" s="5"/>
    </row>
    <row r="62" spans="1:12">
      <c r="A62" s="17"/>
      <c r="B62" s="20"/>
      <c r="C62" s="9"/>
      <c r="D62" s="9"/>
      <c r="E62" s="9"/>
      <c r="F62" s="9"/>
      <c r="G62" s="5"/>
      <c r="H62" s="5"/>
      <c r="I62" s="5"/>
      <c r="J62" s="5"/>
      <c r="K62" s="5"/>
      <c r="L62" s="5"/>
    </row>
    <row r="63" spans="1:12">
      <c r="A63" s="17"/>
      <c r="B63" s="21"/>
      <c r="C63" s="9"/>
      <c r="D63" s="9"/>
      <c r="E63" s="9"/>
      <c r="F63" s="9"/>
      <c r="G63" s="5"/>
      <c r="H63" s="5"/>
      <c r="I63" s="5"/>
      <c r="J63" s="5"/>
      <c r="K63" s="5"/>
      <c r="L63" s="5"/>
    </row>
    <row r="64" ht="14.25" customHeight="1" spans="1:12">
      <c r="A64" s="17">
        <v>11</v>
      </c>
      <c r="B64" s="22"/>
      <c r="C64" s="9"/>
      <c r="D64" s="9"/>
      <c r="E64" s="9"/>
      <c r="F64" s="9"/>
      <c r="G64" s="5"/>
      <c r="H64" s="5"/>
      <c r="I64" s="5"/>
      <c r="J64" s="5"/>
      <c r="K64" s="5"/>
      <c r="L64" s="5"/>
    </row>
    <row r="65" spans="1:12">
      <c r="A65" s="17"/>
      <c r="B65" s="22"/>
      <c r="C65" s="9"/>
      <c r="D65" s="9"/>
      <c r="E65" s="9"/>
      <c r="F65" s="9"/>
      <c r="G65" s="5"/>
      <c r="H65" s="5"/>
      <c r="I65" s="5"/>
      <c r="J65" s="5"/>
      <c r="K65" s="5"/>
      <c r="L65" s="5"/>
    </row>
    <row r="66" spans="1:12">
      <c r="A66" s="17"/>
      <c r="B66" s="22"/>
      <c r="C66" s="9"/>
      <c r="D66" s="9"/>
      <c r="E66" s="9"/>
      <c r="F66" s="9"/>
      <c r="G66" s="5"/>
      <c r="H66" s="5"/>
      <c r="I66" s="5"/>
      <c r="J66" s="5"/>
      <c r="K66" s="5"/>
      <c r="L66" s="5"/>
    </row>
    <row r="67" spans="1:12">
      <c r="A67" s="17"/>
      <c r="B67" s="9"/>
      <c r="C67" s="9"/>
      <c r="D67" s="9"/>
      <c r="E67" s="9"/>
      <c r="F67" s="9"/>
      <c r="G67" s="5"/>
      <c r="H67" s="5"/>
      <c r="I67" s="5"/>
      <c r="J67" s="5"/>
      <c r="K67" s="5"/>
      <c r="L67" s="5"/>
    </row>
    <row r="68" spans="1:12">
      <c r="A68" s="17"/>
      <c r="B68" s="20"/>
      <c r="C68" s="9"/>
      <c r="D68" s="9"/>
      <c r="E68" s="9"/>
      <c r="F68" s="9"/>
      <c r="G68" s="5"/>
      <c r="H68" s="5"/>
      <c r="I68" s="5"/>
      <c r="J68" s="5"/>
      <c r="K68" s="5"/>
      <c r="L68" s="5"/>
    </row>
    <row r="69" spans="1:12">
      <c r="A69" s="17"/>
      <c r="B69" s="20"/>
      <c r="C69" s="9"/>
      <c r="D69" s="9"/>
      <c r="E69" s="9"/>
      <c r="F69" s="9"/>
      <c r="G69" s="5"/>
      <c r="H69" s="5"/>
      <c r="I69" s="5"/>
      <c r="J69" s="5"/>
      <c r="K69" s="5"/>
      <c r="L69" s="5"/>
    </row>
    <row r="70" ht="14.25" customHeight="1" spans="1:12">
      <c r="A70" s="23">
        <v>12</v>
      </c>
      <c r="B70" s="24"/>
      <c r="C70" s="9"/>
      <c r="D70" s="9"/>
      <c r="E70" s="9"/>
      <c r="F70" s="9"/>
      <c r="G70" s="5"/>
      <c r="H70" s="5"/>
      <c r="I70" s="5"/>
      <c r="J70" s="5"/>
      <c r="K70" s="5"/>
      <c r="L70" s="5"/>
    </row>
    <row r="71" spans="1:12">
      <c r="A71" s="23"/>
      <c r="B71" s="20"/>
      <c r="C71" s="9"/>
      <c r="D71" s="9"/>
      <c r="E71" s="9"/>
      <c r="F71" s="9"/>
      <c r="G71" s="5"/>
      <c r="H71" s="5"/>
      <c r="I71" s="5"/>
      <c r="J71" s="5"/>
      <c r="K71" s="5"/>
      <c r="L71" s="5"/>
    </row>
    <row r="72" spans="1:12">
      <c r="A72" s="23"/>
      <c r="B72" s="20"/>
      <c r="C72" s="9"/>
      <c r="D72" s="9"/>
      <c r="E72" s="9"/>
      <c r="F72" s="9"/>
      <c r="G72" s="5"/>
      <c r="H72" s="5"/>
      <c r="I72" s="5"/>
      <c r="J72" s="5"/>
      <c r="K72" s="5"/>
      <c r="L72" s="5"/>
    </row>
    <row r="73" spans="1:12">
      <c r="A73" s="23"/>
      <c r="B73" s="20"/>
      <c r="C73" s="9"/>
      <c r="D73" s="9"/>
      <c r="E73" s="9"/>
      <c r="F73" s="9"/>
      <c r="G73" s="5"/>
      <c r="H73" s="5"/>
      <c r="I73" s="5"/>
      <c r="J73" s="5"/>
      <c r="K73" s="5"/>
      <c r="L73" s="5"/>
    </row>
    <row r="74" spans="1:12">
      <c r="A74" s="23"/>
      <c r="B74" s="20"/>
      <c r="C74" s="9"/>
      <c r="D74" s="9"/>
      <c r="E74" s="9"/>
      <c r="F74" s="9"/>
      <c r="G74" s="5"/>
      <c r="H74" s="5"/>
      <c r="I74" s="5"/>
      <c r="J74" s="5"/>
      <c r="K74" s="5"/>
      <c r="L74" s="5"/>
    </row>
    <row r="75" spans="1:12">
      <c r="A75" s="23"/>
      <c r="B75" s="20"/>
      <c r="C75" s="9"/>
      <c r="D75" s="9"/>
      <c r="E75" s="9"/>
      <c r="F75" s="9"/>
      <c r="G75" s="5"/>
      <c r="H75" s="5"/>
      <c r="I75" s="5"/>
      <c r="J75" s="5"/>
      <c r="K75" s="5"/>
      <c r="L75" s="5"/>
    </row>
    <row r="76" ht="14.25" customHeight="1" spans="1:12">
      <c r="A76" s="25">
        <v>13</v>
      </c>
      <c r="B76" s="9"/>
      <c r="C76" s="9"/>
      <c r="D76" s="9"/>
      <c r="E76" s="9"/>
      <c r="F76" s="9"/>
      <c r="G76" s="5"/>
      <c r="H76" s="5"/>
      <c r="I76" s="5"/>
      <c r="J76" s="5"/>
      <c r="K76" s="5"/>
      <c r="L76" s="5"/>
    </row>
    <row r="77" spans="1:12">
      <c r="A77" s="25"/>
      <c r="B77" s="9"/>
      <c r="C77" s="9"/>
      <c r="D77" s="9"/>
      <c r="E77" s="9"/>
      <c r="F77" s="9"/>
      <c r="G77" s="5"/>
      <c r="H77" s="5"/>
      <c r="I77" s="5"/>
      <c r="J77" s="5"/>
      <c r="K77" s="5"/>
      <c r="L77" s="5"/>
    </row>
    <row r="78" spans="1:12">
      <c r="A78" s="25"/>
      <c r="B78" s="9"/>
      <c r="C78" s="9"/>
      <c r="D78" s="9"/>
      <c r="E78" s="9"/>
      <c r="F78" s="9"/>
      <c r="G78" s="5"/>
      <c r="H78" s="5"/>
      <c r="I78" s="5"/>
      <c r="J78" s="5"/>
      <c r="K78" s="5"/>
      <c r="L78" s="5"/>
    </row>
    <row r="79" spans="1:12">
      <c r="A79" s="25"/>
      <c r="B79" s="20"/>
      <c r="C79" s="9"/>
      <c r="D79" s="9"/>
      <c r="E79" s="9"/>
      <c r="F79" s="9"/>
      <c r="G79" s="5"/>
      <c r="H79" s="5"/>
      <c r="I79" s="5"/>
      <c r="J79" s="5"/>
      <c r="K79" s="5"/>
      <c r="L79" s="5"/>
    </row>
    <row r="80" spans="1:12">
      <c r="A80" s="25"/>
      <c r="B80" s="20"/>
      <c r="C80" s="9"/>
      <c r="D80" s="9"/>
      <c r="E80" s="9"/>
      <c r="F80" s="9"/>
      <c r="G80" s="5"/>
      <c r="H80" s="5"/>
      <c r="I80" s="5"/>
      <c r="J80" s="5"/>
      <c r="K80" s="5"/>
      <c r="L80" s="5"/>
    </row>
    <row r="81" spans="1:12">
      <c r="A81" s="25"/>
      <c r="B81" s="20"/>
      <c r="C81" s="9"/>
      <c r="D81" s="9"/>
      <c r="E81" s="9"/>
      <c r="F81" s="9"/>
      <c r="G81" s="5"/>
      <c r="H81" s="5"/>
      <c r="I81" s="5"/>
      <c r="J81" s="5"/>
      <c r="K81" s="5"/>
      <c r="L81" s="5"/>
    </row>
    <row r="82" ht="14.25" customHeight="1" spans="1:12">
      <c r="A82" s="25">
        <v>14</v>
      </c>
      <c r="B82" s="20"/>
      <c r="C82" s="9"/>
      <c r="D82" s="9"/>
      <c r="E82" s="9"/>
      <c r="F82" s="9"/>
      <c r="G82" s="5"/>
      <c r="H82" s="5"/>
      <c r="I82" s="5"/>
      <c r="J82" s="5"/>
      <c r="K82" s="5"/>
      <c r="L82" s="5"/>
    </row>
    <row r="83" spans="1:12">
      <c r="A83" s="25"/>
      <c r="B83" s="20"/>
      <c r="C83" s="9"/>
      <c r="D83" s="9"/>
      <c r="E83" s="9"/>
      <c r="F83" s="9"/>
      <c r="G83" s="5"/>
      <c r="H83" s="5"/>
      <c r="I83" s="5"/>
      <c r="J83" s="5"/>
      <c r="K83" s="5"/>
      <c r="L83" s="5"/>
    </row>
    <row r="84" spans="1:12">
      <c r="A84" s="25"/>
      <c r="B84" s="20"/>
      <c r="C84" s="9"/>
      <c r="D84" s="9"/>
      <c r="E84" s="9"/>
      <c r="F84" s="9"/>
      <c r="G84" s="5"/>
      <c r="H84" s="5"/>
      <c r="I84" s="5"/>
      <c r="J84" s="5"/>
      <c r="K84" s="5"/>
      <c r="L84" s="5"/>
    </row>
    <row r="85" spans="1:12">
      <c r="A85" s="25"/>
      <c r="B85" s="20"/>
      <c r="C85" s="9"/>
      <c r="D85" s="9"/>
      <c r="E85" s="9"/>
      <c r="F85" s="9"/>
      <c r="G85" s="5"/>
      <c r="H85" s="5"/>
      <c r="I85" s="5"/>
      <c r="J85" s="5"/>
      <c r="K85" s="5"/>
      <c r="L85" s="5"/>
    </row>
    <row r="86" spans="1:12">
      <c r="A86" s="25"/>
      <c r="B86" s="20"/>
      <c r="C86" s="9"/>
      <c r="D86" s="9"/>
      <c r="E86" s="9"/>
      <c r="F86" s="9"/>
      <c r="G86" s="5"/>
      <c r="H86" s="5"/>
      <c r="I86" s="5"/>
      <c r="J86" s="5"/>
      <c r="K86" s="5"/>
      <c r="L86" s="5"/>
    </row>
    <row r="87" spans="1:12">
      <c r="A87" s="25"/>
      <c r="B87" s="20"/>
      <c r="C87" s="9"/>
      <c r="D87" s="9"/>
      <c r="E87" s="9"/>
      <c r="F87" s="9"/>
      <c r="G87" s="5"/>
      <c r="H87" s="5"/>
      <c r="I87" s="5"/>
      <c r="J87" s="5"/>
      <c r="K87" s="5"/>
      <c r="L87" s="5"/>
    </row>
    <row r="88" ht="14.25" customHeight="1" spans="1:12">
      <c r="A88" s="26">
        <v>15</v>
      </c>
      <c r="B88" s="20"/>
      <c r="C88" s="9"/>
      <c r="D88" s="9"/>
      <c r="E88" s="9"/>
      <c r="F88" s="9"/>
      <c r="G88" s="5"/>
      <c r="H88" s="5"/>
      <c r="I88" s="5"/>
      <c r="J88" s="5"/>
      <c r="K88" s="5"/>
      <c r="L88" s="5"/>
    </row>
    <row r="89" spans="1:12">
      <c r="A89" s="26"/>
      <c r="B89" s="20"/>
      <c r="C89" s="9"/>
      <c r="D89" s="9"/>
      <c r="E89" s="9"/>
      <c r="F89" s="9"/>
      <c r="G89" s="5"/>
      <c r="H89" s="5"/>
      <c r="I89" s="5"/>
      <c r="J89" s="5"/>
      <c r="K89" s="5"/>
      <c r="L89" s="5"/>
    </row>
    <row r="90" spans="1:12">
      <c r="A90" s="26"/>
      <c r="B90" s="20"/>
      <c r="C90" s="9"/>
      <c r="D90" s="9"/>
      <c r="E90" s="9"/>
      <c r="F90" s="9"/>
      <c r="G90" s="5"/>
      <c r="H90" s="5"/>
      <c r="I90" s="5"/>
      <c r="J90" s="5"/>
      <c r="K90" s="5"/>
      <c r="L90" s="5"/>
    </row>
    <row r="91" spans="1:12">
      <c r="A91" s="26"/>
      <c r="B91" s="20"/>
      <c r="C91" s="9"/>
      <c r="D91" s="9"/>
      <c r="E91" s="9"/>
      <c r="F91" s="9"/>
      <c r="G91" s="5"/>
      <c r="H91" s="5"/>
      <c r="I91" s="5"/>
      <c r="J91" s="5"/>
      <c r="K91" s="5"/>
      <c r="L91" s="5"/>
    </row>
    <row r="92" spans="1:12">
      <c r="A92" s="26"/>
      <c r="B92" s="20"/>
      <c r="C92" s="9"/>
      <c r="D92" s="9"/>
      <c r="E92" s="9"/>
      <c r="F92" s="9"/>
      <c r="G92" s="5"/>
      <c r="H92" s="5"/>
      <c r="I92" s="5"/>
      <c r="J92" s="5"/>
      <c r="K92" s="5"/>
      <c r="L92" s="5"/>
    </row>
    <row r="93" spans="1:12">
      <c r="A93" s="26"/>
      <c r="B93" s="20"/>
      <c r="C93" s="9"/>
      <c r="D93" s="9"/>
      <c r="E93" s="9"/>
      <c r="F93" s="9"/>
      <c r="G93" s="5"/>
      <c r="H93" s="5"/>
      <c r="I93" s="5"/>
      <c r="J93" s="5"/>
      <c r="K93" s="5"/>
      <c r="L93" s="5"/>
    </row>
    <row r="94" ht="14.25" customHeight="1" spans="1:12">
      <c r="A94" s="26">
        <v>16</v>
      </c>
      <c r="B94" s="22"/>
      <c r="C94" s="9"/>
      <c r="D94" s="9"/>
      <c r="E94" s="9"/>
      <c r="F94" s="9"/>
      <c r="G94" s="5"/>
      <c r="H94" s="5"/>
      <c r="I94" s="5"/>
      <c r="J94" s="5"/>
      <c r="K94" s="5"/>
      <c r="L94" s="5"/>
    </row>
    <row r="95" spans="1:12">
      <c r="A95" s="26"/>
      <c r="B95" s="20"/>
      <c r="C95" s="9"/>
      <c r="D95" s="9"/>
      <c r="E95" s="9"/>
      <c r="F95" s="9"/>
      <c r="G95" s="5"/>
      <c r="H95" s="5"/>
      <c r="I95" s="5"/>
      <c r="J95" s="5"/>
      <c r="K95" s="5"/>
      <c r="L95" s="5"/>
    </row>
    <row r="96" spans="1:12">
      <c r="A96" s="26"/>
      <c r="B96" s="20"/>
      <c r="C96" s="9"/>
      <c r="D96" s="9"/>
      <c r="E96" s="9"/>
      <c r="F96" s="9"/>
      <c r="G96" s="5"/>
      <c r="H96" s="5"/>
      <c r="I96" s="5"/>
      <c r="J96" s="5"/>
      <c r="K96" s="5"/>
      <c r="L96" s="5"/>
    </row>
    <row r="97" spans="1:12">
      <c r="A97" s="26"/>
      <c r="B97" s="20"/>
      <c r="C97" s="9"/>
      <c r="D97" s="9"/>
      <c r="E97" s="9"/>
      <c r="F97" s="9"/>
      <c r="G97" s="5"/>
      <c r="H97" s="5"/>
      <c r="I97" s="5"/>
      <c r="J97" s="5"/>
      <c r="K97" s="5"/>
      <c r="L97" s="5"/>
    </row>
    <row r="98" spans="1:12">
      <c r="A98" s="26"/>
      <c r="B98" s="20"/>
      <c r="C98" s="9"/>
      <c r="D98" s="9"/>
      <c r="E98" s="9"/>
      <c r="F98" s="9"/>
      <c r="G98" s="5"/>
      <c r="H98" s="5"/>
      <c r="I98" s="5"/>
      <c r="J98" s="5"/>
      <c r="K98" s="5"/>
      <c r="L98" s="5"/>
    </row>
    <row r="99" spans="1:12">
      <c r="A99" s="26"/>
      <c r="B99" s="20"/>
      <c r="C99" s="9"/>
      <c r="D99" s="9"/>
      <c r="E99" s="9"/>
      <c r="F99" s="9"/>
      <c r="G99" s="5"/>
      <c r="H99" s="5"/>
      <c r="I99" s="5"/>
      <c r="J99" s="5"/>
      <c r="K99" s="5"/>
      <c r="L99" s="5"/>
    </row>
    <row r="100" ht="14.25" customHeight="1" spans="1:12">
      <c r="A100" s="26">
        <v>17</v>
      </c>
      <c r="B100" s="20"/>
      <c r="C100" s="9"/>
      <c r="D100" s="9"/>
      <c r="E100" s="9"/>
      <c r="F100" s="9"/>
      <c r="G100" s="5"/>
      <c r="H100" s="5"/>
      <c r="I100" s="5"/>
      <c r="J100" s="5"/>
      <c r="K100" s="5"/>
      <c r="L100" s="5"/>
    </row>
    <row r="101" spans="1:12">
      <c r="A101" s="26"/>
      <c r="B101" s="20"/>
      <c r="C101" s="9"/>
      <c r="D101" s="9"/>
      <c r="E101" s="9"/>
      <c r="F101" s="9"/>
      <c r="G101" s="5"/>
      <c r="H101" s="5"/>
      <c r="I101" s="5"/>
      <c r="J101" s="5"/>
      <c r="K101" s="5"/>
      <c r="L101" s="5"/>
    </row>
    <row r="102" spans="1:12">
      <c r="A102" s="26"/>
      <c r="B102" s="20"/>
      <c r="C102" s="9"/>
      <c r="D102" s="9"/>
      <c r="E102" s="9"/>
      <c r="F102" s="9"/>
      <c r="G102" s="5"/>
      <c r="H102" s="5"/>
      <c r="I102" s="5"/>
      <c r="J102" s="5"/>
      <c r="K102" s="5"/>
      <c r="L102" s="5"/>
    </row>
    <row r="103" spans="1:12">
      <c r="A103" s="26"/>
      <c r="B103" s="20"/>
      <c r="C103" s="9"/>
      <c r="D103" s="9"/>
      <c r="E103" s="9"/>
      <c r="F103" s="9"/>
      <c r="G103" s="5"/>
      <c r="H103" s="5"/>
      <c r="I103" s="5"/>
      <c r="J103" s="5"/>
      <c r="K103" s="5"/>
      <c r="L103" s="5"/>
    </row>
    <row r="104" spans="1:12">
      <c r="A104" s="26"/>
      <c r="B104" s="20"/>
      <c r="C104" s="9"/>
      <c r="D104" s="9"/>
      <c r="E104" s="9"/>
      <c r="F104" s="9"/>
      <c r="G104" s="5"/>
      <c r="H104" s="5"/>
      <c r="I104" s="5"/>
      <c r="J104" s="5"/>
      <c r="K104" s="5"/>
      <c r="L104" s="5"/>
    </row>
    <row r="105" spans="1:12">
      <c r="A105" s="26"/>
      <c r="B105" s="20"/>
      <c r="C105" s="9"/>
      <c r="D105" s="9"/>
      <c r="E105" s="9"/>
      <c r="F105" s="9"/>
      <c r="G105" s="5"/>
      <c r="H105" s="5"/>
      <c r="I105" s="5"/>
      <c r="J105" s="5"/>
      <c r="K105" s="5"/>
      <c r="L105" s="5"/>
    </row>
    <row r="106" ht="14.25" customHeight="1" spans="1:12">
      <c r="A106" s="26">
        <v>18</v>
      </c>
      <c r="B106" s="20"/>
      <c r="C106" s="9"/>
      <c r="D106" s="9"/>
      <c r="E106" s="9"/>
      <c r="F106" s="9"/>
      <c r="G106" s="5"/>
      <c r="H106" s="5"/>
      <c r="I106" s="5"/>
      <c r="J106" s="5"/>
      <c r="K106" s="5"/>
      <c r="L106" s="5"/>
    </row>
    <row r="107" spans="1:12">
      <c r="A107" s="26"/>
      <c r="B107" s="20"/>
      <c r="C107" s="9"/>
      <c r="D107" s="9"/>
      <c r="E107" s="9"/>
      <c r="F107" s="9"/>
      <c r="G107" s="5"/>
      <c r="H107" s="5"/>
      <c r="I107" s="5"/>
      <c r="J107" s="5"/>
      <c r="K107" s="5"/>
      <c r="L107" s="5"/>
    </row>
    <row r="108" spans="1:12">
      <c r="A108" s="26"/>
      <c r="B108" s="20"/>
      <c r="C108" s="9"/>
      <c r="D108" s="9"/>
      <c r="E108" s="9"/>
      <c r="F108" s="9"/>
      <c r="G108" s="5"/>
      <c r="H108" s="5"/>
      <c r="I108" s="5"/>
      <c r="J108" s="5"/>
      <c r="K108" s="5"/>
      <c r="L108" s="5"/>
    </row>
    <row r="109" spans="1:12">
      <c r="A109" s="26"/>
      <c r="B109" s="20"/>
      <c r="C109" s="9"/>
      <c r="D109" s="9"/>
      <c r="E109" s="9"/>
      <c r="F109" s="9"/>
      <c r="G109" s="5"/>
      <c r="H109" s="5"/>
      <c r="I109" s="5"/>
      <c r="J109" s="5"/>
      <c r="K109" s="5"/>
      <c r="L109" s="5"/>
    </row>
    <row r="110" spans="1:12">
      <c r="A110" s="26"/>
      <c r="B110" s="20"/>
      <c r="C110" s="9"/>
      <c r="D110" s="9"/>
      <c r="E110" s="9"/>
      <c r="F110" s="9"/>
      <c r="G110" s="5"/>
      <c r="H110" s="5"/>
      <c r="I110" s="5"/>
      <c r="J110" s="5"/>
      <c r="K110" s="5"/>
      <c r="L110" s="5"/>
    </row>
    <row r="111" spans="1:12">
      <c r="A111" s="26"/>
      <c r="B111" s="20"/>
      <c r="C111" s="9"/>
      <c r="D111" s="9"/>
      <c r="E111" s="9"/>
      <c r="F111" s="9"/>
      <c r="G111" s="5"/>
      <c r="H111" s="5"/>
      <c r="I111" s="5"/>
      <c r="J111" s="5"/>
      <c r="K111" s="5"/>
      <c r="L111" s="5"/>
    </row>
    <row r="112" ht="14.25" customHeight="1" spans="1:12">
      <c r="A112" s="26">
        <v>19</v>
      </c>
      <c r="B112" s="20"/>
      <c r="C112" s="9"/>
      <c r="D112" s="9"/>
      <c r="E112" s="9"/>
      <c r="F112" s="9"/>
      <c r="G112" s="5"/>
      <c r="H112" s="5"/>
      <c r="I112" s="5"/>
      <c r="J112" s="5"/>
      <c r="K112" s="5"/>
      <c r="L112" s="5"/>
    </row>
    <row r="113" spans="1:12">
      <c r="A113" s="26"/>
      <c r="B113" s="20"/>
      <c r="C113" s="9"/>
      <c r="D113" s="9"/>
      <c r="E113" s="9"/>
      <c r="F113" s="9"/>
      <c r="G113" s="5"/>
      <c r="H113" s="5"/>
      <c r="I113" s="5"/>
      <c r="J113" s="5"/>
      <c r="K113" s="5"/>
      <c r="L113" s="5"/>
    </row>
    <row r="114" spans="1:12">
      <c r="A114" s="26"/>
      <c r="B114" s="20"/>
      <c r="C114" s="9"/>
      <c r="D114" s="9"/>
      <c r="E114" s="9"/>
      <c r="F114" s="9"/>
      <c r="G114" s="5"/>
      <c r="H114" s="5"/>
      <c r="I114" s="5"/>
      <c r="J114" s="5"/>
      <c r="K114" s="5"/>
      <c r="L114" s="5"/>
    </row>
    <row r="115" spans="1:12">
      <c r="A115" s="26"/>
      <c r="B115" s="20"/>
      <c r="C115" s="9"/>
      <c r="D115" s="9"/>
      <c r="E115" s="9"/>
      <c r="F115" s="9"/>
      <c r="G115" s="5"/>
      <c r="H115" s="5"/>
      <c r="I115" s="5"/>
      <c r="J115" s="5"/>
      <c r="K115" s="5"/>
      <c r="L115" s="5"/>
    </row>
    <row r="116" spans="1:12">
      <c r="A116" s="26"/>
      <c r="B116" s="20"/>
      <c r="C116" s="9"/>
      <c r="D116" s="9"/>
      <c r="E116" s="9"/>
      <c r="F116" s="9"/>
      <c r="G116" s="5"/>
      <c r="H116" s="5"/>
      <c r="I116" s="5"/>
      <c r="J116" s="5"/>
      <c r="K116" s="5"/>
      <c r="L116" s="5"/>
    </row>
    <row r="117" spans="1:12">
      <c r="A117" s="26"/>
      <c r="B117" s="20"/>
      <c r="C117" s="9"/>
      <c r="D117" s="9"/>
      <c r="E117" s="9"/>
      <c r="F117" s="9"/>
      <c r="G117" s="5"/>
      <c r="H117" s="5"/>
      <c r="I117" s="5"/>
      <c r="J117" s="5"/>
      <c r="K117" s="5"/>
      <c r="L117" s="5"/>
    </row>
    <row r="118" ht="14.25" customHeight="1" spans="1:12">
      <c r="A118" s="26">
        <v>20</v>
      </c>
      <c r="B118" s="9"/>
      <c r="C118" s="9"/>
      <c r="D118" s="9"/>
      <c r="E118" s="9"/>
      <c r="F118" s="9"/>
      <c r="G118" s="5"/>
      <c r="H118" s="5"/>
      <c r="I118" s="5"/>
      <c r="J118" s="5"/>
      <c r="K118" s="5"/>
      <c r="L118" s="5"/>
    </row>
    <row r="119" spans="1:12">
      <c r="A119" s="26"/>
      <c r="B119" s="9"/>
      <c r="C119" s="9"/>
      <c r="D119" s="9"/>
      <c r="E119" s="9"/>
      <c r="F119" s="9"/>
      <c r="G119" s="5"/>
      <c r="H119" s="5"/>
      <c r="I119" s="5"/>
      <c r="J119" s="5"/>
      <c r="K119" s="5"/>
      <c r="L119" s="5"/>
    </row>
    <row r="120" spans="1:12">
      <c r="A120" s="26"/>
      <c r="B120" s="20"/>
      <c r="C120" s="9"/>
      <c r="D120" s="9"/>
      <c r="E120" s="9"/>
      <c r="F120" s="9"/>
      <c r="G120" s="5"/>
      <c r="H120" s="5"/>
      <c r="I120" s="5"/>
      <c r="J120" s="5"/>
      <c r="K120" s="5"/>
      <c r="L120" s="5"/>
    </row>
    <row r="121" spans="1:12">
      <c r="A121" s="26"/>
      <c r="B121" s="20"/>
      <c r="C121" s="9"/>
      <c r="D121" s="9"/>
      <c r="E121" s="9"/>
      <c r="F121" s="9"/>
      <c r="G121" s="5"/>
      <c r="H121" s="5"/>
      <c r="I121" s="5"/>
      <c r="J121" s="5"/>
      <c r="K121" s="5"/>
      <c r="L121" s="5"/>
    </row>
    <row r="122" spans="1:12">
      <c r="A122" s="26"/>
      <c r="B122" s="20"/>
      <c r="C122" s="9"/>
      <c r="D122" s="9"/>
      <c r="E122" s="9"/>
      <c r="F122" s="9"/>
      <c r="G122" s="5"/>
      <c r="H122" s="5"/>
      <c r="I122" s="5"/>
      <c r="J122" s="5"/>
      <c r="K122" s="5"/>
      <c r="L122" s="5"/>
    </row>
    <row r="123" spans="1:12">
      <c r="A123" s="26"/>
      <c r="B123" s="20"/>
      <c r="C123" s="9"/>
      <c r="D123" s="9"/>
      <c r="E123" s="9"/>
      <c r="F123" s="9"/>
      <c r="G123" s="5"/>
      <c r="H123" s="5"/>
      <c r="I123" s="5"/>
      <c r="J123" s="5"/>
      <c r="K123" s="5"/>
      <c r="L123" s="5"/>
    </row>
    <row r="124" ht="14.25" customHeight="1" spans="1:12">
      <c r="A124" s="26">
        <v>21</v>
      </c>
      <c r="B124" s="20"/>
      <c r="C124" s="9"/>
      <c r="D124" s="9"/>
      <c r="E124" s="9"/>
      <c r="F124" s="9"/>
      <c r="G124" s="5"/>
      <c r="H124" s="5"/>
      <c r="I124" s="5"/>
      <c r="J124" s="5"/>
      <c r="K124" s="5"/>
      <c r="L124" s="5"/>
    </row>
    <row r="125" spans="1:12">
      <c r="A125" s="26"/>
      <c r="B125" s="20"/>
      <c r="C125" s="9"/>
      <c r="D125" s="9"/>
      <c r="E125" s="9"/>
      <c r="F125" s="9"/>
      <c r="G125" s="5"/>
      <c r="H125" s="5"/>
      <c r="I125" s="5"/>
      <c r="J125" s="5"/>
      <c r="K125" s="5"/>
      <c r="L125" s="5"/>
    </row>
    <row r="126" spans="1:12">
      <c r="A126" s="26"/>
      <c r="B126" s="20"/>
      <c r="C126" s="9"/>
      <c r="D126" s="9"/>
      <c r="E126" s="9"/>
      <c r="F126" s="9"/>
      <c r="G126" s="5"/>
      <c r="H126" s="5"/>
      <c r="I126" s="5"/>
      <c r="J126" s="5"/>
      <c r="K126" s="5"/>
      <c r="L126" s="5"/>
    </row>
    <row r="127" spans="1:12">
      <c r="A127" s="26"/>
      <c r="B127" s="20"/>
      <c r="C127" s="9"/>
      <c r="D127" s="9"/>
      <c r="E127" s="9"/>
      <c r="F127" s="9"/>
      <c r="G127" s="5"/>
      <c r="H127" s="5"/>
      <c r="I127" s="5"/>
      <c r="J127" s="5"/>
      <c r="K127" s="5"/>
      <c r="L127" s="5"/>
    </row>
    <row r="128" spans="1:12">
      <c r="A128" s="26"/>
      <c r="B128" s="20"/>
      <c r="C128" s="9"/>
      <c r="D128" s="9"/>
      <c r="E128" s="9"/>
      <c r="F128" s="9"/>
      <c r="G128" s="5"/>
      <c r="H128" s="5"/>
      <c r="I128" s="5"/>
      <c r="J128" s="5"/>
      <c r="K128" s="5"/>
      <c r="L128" s="5"/>
    </row>
    <row r="129" spans="1:12">
      <c r="A129" s="26"/>
      <c r="B129" s="20"/>
      <c r="C129" s="9"/>
      <c r="D129" s="9"/>
      <c r="E129" s="9"/>
      <c r="F129" s="9"/>
      <c r="G129" s="5"/>
      <c r="H129" s="5"/>
      <c r="I129" s="5"/>
      <c r="J129" s="5"/>
      <c r="K129" s="5"/>
      <c r="L129" s="5"/>
    </row>
    <row r="130" ht="14.25" customHeight="1" spans="1:12">
      <c r="A130" s="26">
        <v>22</v>
      </c>
      <c r="B130" s="20"/>
      <c r="C130" s="9"/>
      <c r="D130" s="9"/>
      <c r="E130" s="9"/>
      <c r="F130" s="9"/>
      <c r="G130" s="5"/>
      <c r="H130" s="5"/>
      <c r="I130" s="5"/>
      <c r="J130" s="5"/>
      <c r="K130" s="5"/>
      <c r="L130" s="5"/>
    </row>
    <row r="131" spans="1:12">
      <c r="A131" s="26"/>
      <c r="B131" s="20"/>
      <c r="C131" s="9"/>
      <c r="D131" s="9"/>
      <c r="E131" s="9"/>
      <c r="F131" s="9"/>
      <c r="G131" s="5"/>
      <c r="H131" s="5"/>
      <c r="I131" s="5"/>
      <c r="J131" s="5"/>
      <c r="K131" s="5"/>
      <c r="L131" s="5"/>
    </row>
    <row r="132" spans="1:12">
      <c r="A132" s="26"/>
      <c r="B132" s="20"/>
      <c r="C132" s="9"/>
      <c r="D132" s="9"/>
      <c r="E132" s="9"/>
      <c r="F132" s="9"/>
      <c r="G132" s="5"/>
      <c r="H132" s="5"/>
      <c r="I132" s="5"/>
      <c r="J132" s="5"/>
      <c r="K132" s="5"/>
      <c r="L132" s="5"/>
    </row>
    <row r="133" spans="1:12">
      <c r="A133" s="26"/>
      <c r="B133" s="20"/>
      <c r="C133" s="9"/>
      <c r="D133" s="9"/>
      <c r="E133" s="9"/>
      <c r="F133" s="9"/>
      <c r="G133" s="5"/>
      <c r="H133" s="5"/>
      <c r="I133" s="5"/>
      <c r="J133" s="5"/>
      <c r="K133" s="5"/>
      <c r="L133" s="5"/>
    </row>
    <row r="134" spans="1:12">
      <c r="A134" s="26"/>
      <c r="B134" s="20"/>
      <c r="C134" s="9"/>
      <c r="D134" s="9"/>
      <c r="E134" s="9"/>
      <c r="F134" s="9"/>
      <c r="G134" s="5"/>
      <c r="H134" s="5"/>
      <c r="I134" s="5"/>
      <c r="J134" s="5"/>
      <c r="K134" s="5"/>
      <c r="L134" s="5"/>
    </row>
    <row r="135" spans="1:12">
      <c r="A135" s="26"/>
      <c r="B135" s="20"/>
      <c r="C135" s="9"/>
      <c r="D135" s="9"/>
      <c r="E135" s="9"/>
      <c r="F135" s="9"/>
      <c r="G135" s="5"/>
      <c r="H135" s="5"/>
      <c r="I135" s="5"/>
      <c r="J135" s="5"/>
      <c r="K135" s="5"/>
      <c r="L135" s="5"/>
    </row>
    <row r="136" ht="14.25" customHeight="1" spans="1:12">
      <c r="A136" s="26">
        <v>23</v>
      </c>
      <c r="B136" s="20"/>
      <c r="C136" s="9"/>
      <c r="D136" s="9"/>
      <c r="E136" s="9"/>
      <c r="F136" s="9"/>
      <c r="G136" s="5"/>
      <c r="H136" s="5"/>
      <c r="I136" s="5"/>
      <c r="J136" s="5"/>
      <c r="K136" s="5"/>
      <c r="L136" s="5"/>
    </row>
    <row r="137" spans="1:12">
      <c r="A137" s="26"/>
      <c r="B137" s="20"/>
      <c r="C137" s="9"/>
      <c r="D137" s="9"/>
      <c r="E137" s="9"/>
      <c r="F137" s="9"/>
      <c r="G137" s="5"/>
      <c r="H137" s="5"/>
      <c r="I137" s="5"/>
      <c r="J137" s="5"/>
      <c r="K137" s="5"/>
      <c r="L137" s="5"/>
    </row>
    <row r="138" spans="1:12">
      <c r="A138" s="26"/>
      <c r="B138" s="20"/>
      <c r="C138" s="9"/>
      <c r="D138" s="9"/>
      <c r="E138" s="9"/>
      <c r="F138" s="9"/>
      <c r="G138" s="5"/>
      <c r="H138" s="5"/>
      <c r="I138" s="5"/>
      <c r="J138" s="5"/>
      <c r="K138" s="5"/>
      <c r="L138" s="5"/>
    </row>
    <row r="139" spans="1:12">
      <c r="A139" s="26"/>
      <c r="B139" s="20"/>
      <c r="C139" s="9"/>
      <c r="D139" s="9"/>
      <c r="E139" s="9"/>
      <c r="F139" s="9"/>
      <c r="G139" s="5"/>
      <c r="H139" s="5"/>
      <c r="I139" s="5"/>
      <c r="J139" s="5"/>
      <c r="K139" s="5"/>
      <c r="L139" s="5"/>
    </row>
    <row r="140" spans="1:12">
      <c r="A140" s="26"/>
      <c r="B140" s="20"/>
      <c r="C140" s="9"/>
      <c r="D140" s="9"/>
      <c r="E140" s="9"/>
      <c r="F140" s="9"/>
      <c r="G140" s="5"/>
      <c r="H140" s="5"/>
      <c r="I140" s="5"/>
      <c r="J140" s="5"/>
      <c r="K140" s="5"/>
      <c r="L140" s="5"/>
    </row>
    <row r="141" spans="1:12">
      <c r="A141" s="26"/>
      <c r="B141" s="20"/>
      <c r="C141" s="9"/>
      <c r="D141" s="9"/>
      <c r="E141" s="9"/>
      <c r="F141" s="9"/>
      <c r="G141" s="5"/>
      <c r="H141" s="5"/>
      <c r="I141" s="5"/>
      <c r="J141" s="5"/>
      <c r="K141" s="5"/>
      <c r="L141" s="5"/>
    </row>
    <row r="142" ht="14.25" customHeight="1" spans="1:12">
      <c r="A142" s="26">
        <v>24</v>
      </c>
      <c r="B142" s="20"/>
      <c r="C142" s="9"/>
      <c r="D142" s="9"/>
      <c r="E142" s="9"/>
      <c r="F142" s="9"/>
      <c r="G142" s="5"/>
      <c r="H142" s="5"/>
      <c r="I142" s="5"/>
      <c r="J142" s="5"/>
      <c r="K142" s="5"/>
      <c r="L142" s="5"/>
    </row>
    <row r="143" spans="1:12">
      <c r="A143" s="26"/>
      <c r="B143" s="20"/>
      <c r="C143" s="9"/>
      <c r="D143" s="9"/>
      <c r="E143" s="9"/>
      <c r="F143" s="9"/>
      <c r="G143" s="5"/>
      <c r="H143" s="5"/>
      <c r="I143" s="5"/>
      <c r="J143" s="5"/>
      <c r="K143" s="5"/>
      <c r="L143" s="5"/>
    </row>
    <row r="144" spans="1:12">
      <c r="A144" s="26"/>
      <c r="B144" s="20"/>
      <c r="C144" s="9"/>
      <c r="D144" s="9"/>
      <c r="E144" s="9"/>
      <c r="F144" s="9"/>
      <c r="G144" s="5"/>
      <c r="H144" s="5"/>
      <c r="I144" s="5"/>
      <c r="J144" s="5"/>
      <c r="K144" s="5"/>
      <c r="L144" s="5"/>
    </row>
    <row r="145" spans="1:12">
      <c r="A145" s="26"/>
      <c r="B145" s="20"/>
      <c r="C145" s="9"/>
      <c r="D145" s="9"/>
      <c r="E145" s="9"/>
      <c r="F145" s="9"/>
      <c r="G145" s="5"/>
      <c r="H145" s="5"/>
      <c r="I145" s="5"/>
      <c r="J145" s="5"/>
      <c r="K145" s="5"/>
      <c r="L145" s="5"/>
    </row>
    <row r="146" spans="1:12">
      <c r="A146" s="26"/>
      <c r="B146" s="20"/>
      <c r="C146" s="9"/>
      <c r="D146" s="9"/>
      <c r="E146" s="9"/>
      <c r="F146" s="9"/>
      <c r="G146" s="5"/>
      <c r="H146" s="5"/>
      <c r="I146" s="5"/>
      <c r="J146" s="5"/>
      <c r="K146" s="5"/>
      <c r="L146" s="5"/>
    </row>
    <row r="147" spans="1:12">
      <c r="A147" s="26"/>
      <c r="B147" s="20"/>
      <c r="C147" s="9"/>
      <c r="D147" s="9"/>
      <c r="E147" s="9"/>
      <c r="F147" s="9"/>
      <c r="G147" s="5"/>
      <c r="H147" s="5"/>
      <c r="I147" s="5"/>
      <c r="J147" s="5"/>
      <c r="K147" s="5"/>
      <c r="L147" s="5"/>
    </row>
    <row r="148" ht="14.25" customHeight="1" spans="1:12">
      <c r="A148" s="26">
        <v>25</v>
      </c>
      <c r="B148" s="20"/>
      <c r="C148" s="9"/>
      <c r="D148" s="9"/>
      <c r="E148" s="9"/>
      <c r="F148" s="9"/>
      <c r="G148" s="5"/>
      <c r="H148" s="5"/>
      <c r="I148" s="5"/>
      <c r="J148" s="5"/>
      <c r="K148" s="5"/>
      <c r="L148" s="5"/>
    </row>
    <row r="149" spans="1:12">
      <c r="A149" s="26"/>
      <c r="B149" s="20"/>
      <c r="C149" s="9"/>
      <c r="D149" s="9"/>
      <c r="E149" s="9"/>
      <c r="F149" s="9"/>
      <c r="G149" s="5"/>
      <c r="H149" s="5"/>
      <c r="I149" s="5"/>
      <c r="J149" s="5"/>
      <c r="K149" s="5"/>
      <c r="L149" s="5"/>
    </row>
    <row r="150" spans="1:12">
      <c r="A150" s="26"/>
      <c r="B150" s="20"/>
      <c r="C150" s="9"/>
      <c r="D150" s="9"/>
      <c r="E150" s="9"/>
      <c r="F150" s="9"/>
      <c r="G150" s="5"/>
      <c r="H150" s="5"/>
      <c r="I150" s="5"/>
      <c r="J150" s="5"/>
      <c r="K150" s="5"/>
      <c r="L150" s="5"/>
    </row>
    <row r="151" spans="1:12">
      <c r="A151" s="26"/>
      <c r="B151" s="20"/>
      <c r="C151" s="9"/>
      <c r="D151" s="9"/>
      <c r="E151" s="9"/>
      <c r="F151" s="9"/>
      <c r="G151" s="5"/>
      <c r="H151" s="5"/>
      <c r="I151" s="5"/>
      <c r="J151" s="5"/>
      <c r="K151" s="5"/>
      <c r="L151" s="5"/>
    </row>
    <row r="152" spans="1:12">
      <c r="A152" s="26"/>
      <c r="B152" s="20"/>
      <c r="C152" s="9"/>
      <c r="D152" s="9"/>
      <c r="E152" s="9"/>
      <c r="F152" s="9"/>
      <c r="G152" s="5"/>
      <c r="H152" s="5"/>
      <c r="I152" s="5"/>
      <c r="J152" s="5"/>
      <c r="K152" s="5"/>
      <c r="L152" s="5"/>
    </row>
    <row r="153" spans="1:12">
      <c r="A153" s="26"/>
      <c r="B153" s="20"/>
      <c r="C153" s="9"/>
      <c r="D153" s="9"/>
      <c r="E153" s="9"/>
      <c r="F153" s="9"/>
      <c r="G153" s="5"/>
      <c r="H153" s="5"/>
      <c r="I153" s="5"/>
      <c r="J153" s="5"/>
      <c r="K153" s="5"/>
      <c r="L153" s="5"/>
    </row>
    <row r="154" ht="14.25" customHeight="1" spans="1:12">
      <c r="A154" s="26">
        <v>26</v>
      </c>
      <c r="B154" s="20"/>
      <c r="C154" s="9"/>
      <c r="D154" s="9"/>
      <c r="E154" s="9"/>
      <c r="F154" s="9"/>
      <c r="G154" s="5"/>
      <c r="H154" s="5"/>
      <c r="I154" s="5"/>
      <c r="J154" s="5"/>
      <c r="K154" s="5"/>
      <c r="L154" s="5"/>
    </row>
    <row r="155" spans="1:12">
      <c r="A155" s="26"/>
      <c r="B155" s="20"/>
      <c r="C155" s="9"/>
      <c r="D155" s="9"/>
      <c r="E155" s="9"/>
      <c r="F155" s="9"/>
      <c r="G155" s="5"/>
      <c r="H155" s="5"/>
      <c r="I155" s="5"/>
      <c r="J155" s="5"/>
      <c r="K155" s="5"/>
      <c r="L155" s="5"/>
    </row>
    <row r="156" spans="1:12">
      <c r="A156" s="26"/>
      <c r="B156" s="20"/>
      <c r="C156" s="9"/>
      <c r="D156" s="9"/>
      <c r="E156" s="9"/>
      <c r="F156" s="9"/>
      <c r="G156" s="5"/>
      <c r="H156" s="5"/>
      <c r="I156" s="5"/>
      <c r="J156" s="5"/>
      <c r="K156" s="5"/>
      <c r="L156" s="5"/>
    </row>
    <row r="157" spans="1:12">
      <c r="A157" s="26"/>
      <c r="B157" s="20"/>
      <c r="C157" s="9"/>
      <c r="D157" s="9"/>
      <c r="E157" s="9"/>
      <c r="F157" s="9"/>
      <c r="G157" s="5"/>
      <c r="H157" s="5"/>
      <c r="I157" s="5"/>
      <c r="J157" s="5"/>
      <c r="K157" s="5"/>
      <c r="L157" s="5"/>
    </row>
    <row r="158" spans="1:12">
      <c r="A158" s="26"/>
      <c r="B158" s="20"/>
      <c r="C158" s="9"/>
      <c r="D158" s="9"/>
      <c r="E158" s="9"/>
      <c r="F158" s="9"/>
      <c r="G158" s="5"/>
      <c r="H158" s="5"/>
      <c r="I158" s="5"/>
      <c r="J158" s="5"/>
      <c r="K158" s="5"/>
      <c r="L158" s="5"/>
    </row>
    <row r="159" spans="1:12">
      <c r="A159" s="26"/>
      <c r="B159" s="20"/>
      <c r="C159" s="9"/>
      <c r="D159" s="9"/>
      <c r="E159" s="9"/>
      <c r="F159" s="9"/>
      <c r="G159" s="5"/>
      <c r="H159" s="5"/>
      <c r="I159" s="5"/>
      <c r="J159" s="5"/>
      <c r="K159" s="5"/>
      <c r="L159" s="5"/>
    </row>
    <row r="160" ht="14.25" customHeight="1" spans="1:12">
      <c r="A160" s="26">
        <v>27</v>
      </c>
      <c r="B160" s="20"/>
      <c r="C160" s="9"/>
      <c r="D160" s="9"/>
      <c r="E160" s="9"/>
      <c r="F160" s="9"/>
      <c r="G160" s="5"/>
      <c r="H160" s="5"/>
      <c r="I160" s="5"/>
      <c r="J160" s="5"/>
      <c r="K160" s="5"/>
      <c r="L160" s="5"/>
    </row>
    <row r="161" spans="1:12">
      <c r="A161" s="26"/>
      <c r="B161" s="20"/>
      <c r="C161" s="9"/>
      <c r="D161" s="9"/>
      <c r="E161" s="9"/>
      <c r="F161" s="9"/>
      <c r="G161" s="5"/>
      <c r="H161" s="5"/>
      <c r="I161" s="5"/>
      <c r="J161" s="5"/>
      <c r="K161" s="5"/>
      <c r="L161" s="5"/>
    </row>
    <row r="162" spans="1:12">
      <c r="A162" s="26"/>
      <c r="B162" s="20"/>
      <c r="C162" s="9"/>
      <c r="D162" s="9"/>
      <c r="E162" s="9"/>
      <c r="F162" s="9"/>
      <c r="G162" s="5"/>
      <c r="H162" s="5"/>
      <c r="I162" s="5"/>
      <c r="J162" s="5"/>
      <c r="K162" s="5"/>
      <c r="L162" s="5"/>
    </row>
    <row r="163" spans="1:12">
      <c r="A163" s="26"/>
      <c r="B163" s="20"/>
      <c r="C163" s="9"/>
      <c r="D163" s="9"/>
      <c r="E163" s="9"/>
      <c r="F163" s="9"/>
      <c r="G163" s="5"/>
      <c r="H163" s="5"/>
      <c r="I163" s="5"/>
      <c r="J163" s="5"/>
      <c r="K163" s="5"/>
      <c r="L163" s="5"/>
    </row>
    <row r="164" spans="1:12">
      <c r="A164" s="26"/>
      <c r="B164" s="20"/>
      <c r="C164" s="9"/>
      <c r="D164" s="9"/>
      <c r="E164" s="9"/>
      <c r="F164" s="9"/>
      <c r="G164" s="5"/>
      <c r="H164" s="5"/>
      <c r="I164" s="5"/>
      <c r="J164" s="5"/>
      <c r="K164" s="5"/>
      <c r="L164" s="5"/>
    </row>
    <row r="165" spans="1:12">
      <c r="A165" s="26"/>
      <c r="B165" s="20"/>
      <c r="C165" s="9"/>
      <c r="D165" s="9"/>
      <c r="E165" s="9"/>
      <c r="F165" s="9"/>
      <c r="G165" s="5"/>
      <c r="H165" s="5"/>
      <c r="I165" s="5"/>
      <c r="J165" s="5"/>
      <c r="K165" s="5"/>
      <c r="L165" s="5"/>
    </row>
    <row r="166" ht="14.25" customHeight="1" spans="1:12">
      <c r="A166" s="26">
        <v>28</v>
      </c>
      <c r="B166" s="20"/>
      <c r="C166" s="9"/>
      <c r="D166" s="9"/>
      <c r="E166" s="9"/>
      <c r="F166" s="9"/>
      <c r="G166" s="5"/>
      <c r="H166" s="5"/>
      <c r="I166" s="5"/>
      <c r="J166" s="5"/>
      <c r="K166" s="5"/>
      <c r="L166" s="5"/>
    </row>
    <row r="167" spans="1:12">
      <c r="A167" s="26"/>
      <c r="B167" s="20"/>
      <c r="C167" s="9"/>
      <c r="D167" s="9"/>
      <c r="E167" s="9"/>
      <c r="F167" s="9"/>
      <c r="G167" s="5"/>
      <c r="H167" s="5"/>
      <c r="I167" s="5"/>
      <c r="J167" s="5"/>
      <c r="K167" s="5"/>
      <c r="L167" s="5"/>
    </row>
    <row r="168" spans="1:12">
      <c r="A168" s="26"/>
      <c r="B168" s="20"/>
      <c r="C168" s="9"/>
      <c r="D168" s="9"/>
      <c r="E168" s="9"/>
      <c r="F168" s="9"/>
      <c r="G168" s="5"/>
      <c r="H168" s="5"/>
      <c r="I168" s="5"/>
      <c r="J168" s="5"/>
      <c r="K168" s="5"/>
      <c r="L168" s="5"/>
    </row>
    <row r="169" spans="1:12">
      <c r="A169" s="26"/>
      <c r="B169" s="20"/>
      <c r="C169" s="9"/>
      <c r="D169" s="9"/>
      <c r="E169" s="9"/>
      <c r="F169" s="9"/>
      <c r="G169" s="5"/>
      <c r="H169" s="5"/>
      <c r="I169" s="5"/>
      <c r="J169" s="5"/>
      <c r="K169" s="5"/>
      <c r="L169" s="5"/>
    </row>
    <row r="170" spans="1:12">
      <c r="A170" s="26"/>
      <c r="B170" s="20"/>
      <c r="C170" s="9"/>
      <c r="D170" s="9"/>
      <c r="E170" s="9"/>
      <c r="F170" s="9"/>
      <c r="G170" s="5"/>
      <c r="H170" s="5"/>
      <c r="I170" s="5"/>
      <c r="J170" s="5"/>
      <c r="K170" s="5"/>
      <c r="L170" s="5"/>
    </row>
    <row r="171" spans="1:12">
      <c r="A171" s="26"/>
      <c r="B171" s="20"/>
      <c r="C171" s="9"/>
      <c r="D171" s="9"/>
      <c r="E171" s="9"/>
      <c r="F171" s="9"/>
      <c r="G171" s="5"/>
      <c r="H171" s="5"/>
      <c r="I171" s="5"/>
      <c r="J171" s="5"/>
      <c r="K171" s="5"/>
      <c r="L171" s="5"/>
    </row>
    <row r="172" ht="14.25" customHeight="1" spans="1:12">
      <c r="A172" s="26">
        <v>29</v>
      </c>
      <c r="B172" s="20"/>
      <c r="C172" s="9"/>
      <c r="D172" s="9"/>
      <c r="E172" s="9"/>
      <c r="F172" s="9"/>
      <c r="G172" s="5"/>
      <c r="H172" s="5"/>
      <c r="I172" s="5"/>
      <c r="J172" s="5"/>
      <c r="K172" s="5"/>
      <c r="L172" s="5"/>
    </row>
    <row r="173" spans="1:12">
      <c r="A173" s="26"/>
      <c r="B173" s="20"/>
      <c r="C173" s="9"/>
      <c r="D173" s="9"/>
      <c r="E173" s="9"/>
      <c r="F173" s="9"/>
      <c r="G173" s="5"/>
      <c r="H173" s="5"/>
      <c r="I173" s="5"/>
      <c r="J173" s="5"/>
      <c r="K173" s="5"/>
      <c r="L173" s="5"/>
    </row>
    <row r="174" spans="1:12">
      <c r="A174" s="26"/>
      <c r="B174" s="20"/>
      <c r="C174" s="9"/>
      <c r="D174" s="9"/>
      <c r="E174" s="9"/>
      <c r="F174" s="9"/>
      <c r="G174" s="5"/>
      <c r="H174" s="5"/>
      <c r="I174" s="5"/>
      <c r="J174" s="5"/>
      <c r="K174" s="5"/>
      <c r="L174" s="5"/>
    </row>
    <row r="175" spans="1:12">
      <c r="A175" s="26"/>
      <c r="B175" s="20"/>
      <c r="C175" s="9"/>
      <c r="D175" s="9"/>
      <c r="E175" s="9"/>
      <c r="F175" s="9"/>
      <c r="G175" s="5"/>
      <c r="H175" s="5"/>
      <c r="I175" s="5"/>
      <c r="J175" s="5"/>
      <c r="K175" s="5"/>
      <c r="L175" s="5"/>
    </row>
    <row r="176" spans="1:12">
      <c r="A176" s="26"/>
      <c r="B176" s="20"/>
      <c r="C176" s="9"/>
      <c r="D176" s="9"/>
      <c r="E176" s="9"/>
      <c r="F176" s="9"/>
      <c r="G176" s="5"/>
      <c r="H176" s="5"/>
      <c r="I176" s="5"/>
      <c r="J176" s="5"/>
      <c r="K176" s="5"/>
      <c r="L176" s="5"/>
    </row>
    <row r="177" spans="1:12">
      <c r="A177" s="26"/>
      <c r="B177" s="20"/>
      <c r="C177" s="9"/>
      <c r="D177" s="9"/>
      <c r="E177" s="9"/>
      <c r="F177" s="9"/>
      <c r="G177" s="5"/>
      <c r="H177" s="5"/>
      <c r="I177" s="5"/>
      <c r="J177" s="5"/>
      <c r="K177" s="5"/>
      <c r="L177" s="5"/>
    </row>
    <row r="178" ht="14.25" customHeight="1" spans="1:12">
      <c r="A178" s="26">
        <v>30</v>
      </c>
      <c r="B178" s="20"/>
      <c r="C178" s="9"/>
      <c r="D178" s="9"/>
      <c r="E178" s="9"/>
      <c r="F178" s="9"/>
      <c r="G178" s="5"/>
      <c r="H178" s="5"/>
      <c r="I178" s="5"/>
      <c r="J178" s="5"/>
      <c r="K178" s="5"/>
      <c r="L178" s="5"/>
    </row>
    <row r="179" spans="1:12">
      <c r="A179" s="26"/>
      <c r="B179" s="20"/>
      <c r="C179" s="9"/>
      <c r="D179" s="9"/>
      <c r="E179" s="9"/>
      <c r="F179" s="9"/>
      <c r="G179" s="5"/>
      <c r="H179" s="5"/>
      <c r="I179" s="5"/>
      <c r="J179" s="5"/>
      <c r="K179" s="5"/>
      <c r="L179" s="5"/>
    </row>
    <row r="180" spans="1:12">
      <c r="A180" s="26"/>
      <c r="B180" s="20"/>
      <c r="C180" s="9"/>
      <c r="D180" s="9"/>
      <c r="E180" s="9"/>
      <c r="F180" s="9"/>
      <c r="G180" s="5"/>
      <c r="H180" s="5"/>
      <c r="I180" s="5"/>
      <c r="J180" s="5"/>
      <c r="K180" s="5"/>
      <c r="L180" s="5"/>
    </row>
    <row r="181" spans="1:12">
      <c r="A181" s="26"/>
      <c r="B181" s="20"/>
      <c r="C181" s="9"/>
      <c r="D181" s="9"/>
      <c r="E181" s="9"/>
      <c r="F181" s="9"/>
      <c r="G181" s="5"/>
      <c r="H181" s="5"/>
      <c r="I181" s="5"/>
      <c r="J181" s="5"/>
      <c r="K181" s="5"/>
      <c r="L181" s="5"/>
    </row>
    <row r="182" spans="1:12">
      <c r="A182" s="26"/>
      <c r="B182" s="20"/>
      <c r="C182" s="9"/>
      <c r="D182" s="9"/>
      <c r="E182" s="9"/>
      <c r="F182" s="9"/>
      <c r="G182" s="5"/>
      <c r="H182" s="5"/>
      <c r="I182" s="5"/>
      <c r="J182" s="5"/>
      <c r="K182" s="5"/>
      <c r="L182" s="5"/>
    </row>
    <row r="183" spans="1:12">
      <c r="A183" s="26"/>
      <c r="B183" s="20"/>
      <c r="C183" s="9"/>
      <c r="D183" s="9"/>
      <c r="E183" s="9"/>
      <c r="F183" s="9"/>
      <c r="G183" s="5"/>
      <c r="H183" s="5"/>
      <c r="I183" s="5"/>
      <c r="J183" s="5"/>
      <c r="K183" s="5"/>
      <c r="L183" s="5"/>
    </row>
    <row r="184" ht="15.75" customHeight="1" spans="1:12">
      <c r="A184" s="27">
        <v>31</v>
      </c>
      <c r="B184" s="20"/>
      <c r="C184" s="9"/>
      <c r="D184" s="9"/>
      <c r="E184" s="9"/>
      <c r="F184" s="9"/>
      <c r="G184" s="5"/>
      <c r="H184" s="5"/>
      <c r="I184" s="5"/>
      <c r="J184" s="5"/>
      <c r="K184" s="5"/>
      <c r="L184" s="5"/>
    </row>
    <row r="185" ht="16.5" spans="1:12">
      <c r="A185" s="27"/>
      <c r="B185" s="20"/>
      <c r="C185" s="9"/>
      <c r="D185" s="9"/>
      <c r="E185" s="9"/>
      <c r="F185" s="9"/>
      <c r="G185" s="5"/>
      <c r="H185" s="5"/>
      <c r="I185" s="5"/>
      <c r="J185" s="5"/>
      <c r="K185" s="5"/>
      <c r="L185" s="5"/>
    </row>
    <row r="186" ht="16.5" spans="1:12">
      <c r="A186" s="27"/>
      <c r="B186" s="20"/>
      <c r="C186" s="9"/>
      <c r="D186" s="9"/>
      <c r="E186" s="9"/>
      <c r="F186" s="9"/>
      <c r="G186" s="5"/>
      <c r="H186" s="5"/>
      <c r="I186" s="5"/>
      <c r="J186" s="5"/>
      <c r="K186" s="5"/>
      <c r="L186" s="5"/>
    </row>
    <row r="187" ht="16.5" spans="1:12">
      <c r="A187" s="27"/>
      <c r="B187" s="20"/>
      <c r="C187" s="9"/>
      <c r="D187" s="9"/>
      <c r="E187" s="9"/>
      <c r="F187" s="9"/>
      <c r="G187" s="5"/>
      <c r="H187" s="5"/>
      <c r="I187" s="5"/>
      <c r="J187" s="5"/>
      <c r="K187" s="5"/>
      <c r="L187" s="5"/>
    </row>
    <row r="188" ht="16.5" spans="1:12">
      <c r="A188" s="27"/>
      <c r="B188" s="20"/>
      <c r="C188" s="9"/>
      <c r="D188" s="9"/>
      <c r="E188" s="9"/>
      <c r="F188" s="9"/>
      <c r="G188" s="5"/>
      <c r="H188" s="5"/>
      <c r="I188" s="5"/>
      <c r="J188" s="5"/>
      <c r="K188" s="5"/>
      <c r="L188" s="5"/>
    </row>
    <row r="189" ht="16.5" spans="1:12">
      <c r="A189" s="27"/>
      <c r="B189" s="28"/>
      <c r="C189" s="9"/>
      <c r="D189" s="9"/>
      <c r="E189" s="9"/>
      <c r="F189" s="9"/>
      <c r="G189" s="5"/>
      <c r="H189" s="5"/>
      <c r="I189" s="5"/>
      <c r="J189" s="5"/>
      <c r="K189" s="5"/>
      <c r="L189" s="5"/>
    </row>
    <row r="190" ht="15.75" spans="1:1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mergeCells count="47">
    <mergeCell ref="C1:D1"/>
    <mergeCell ref="E1:F1"/>
    <mergeCell ref="I1:J1"/>
    <mergeCell ref="K1:L1"/>
    <mergeCell ref="A1:A3"/>
    <mergeCell ref="A4:A9"/>
    <mergeCell ref="A10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106:A111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78:A183"/>
    <mergeCell ref="A184:A189"/>
    <mergeCell ref="B1:B3"/>
    <mergeCell ref="C2:C3"/>
    <mergeCell ref="D2:D3"/>
    <mergeCell ref="E2:E3"/>
    <mergeCell ref="F2:F3"/>
    <mergeCell ref="H1:H4"/>
    <mergeCell ref="I2:I3"/>
    <mergeCell ref="J2:J3"/>
    <mergeCell ref="K2:K3"/>
    <mergeCell ref="L2:L3"/>
    <mergeCell ref="H12:L2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1">
  <rangeList sheetStid="1" master="" otherUserPermission="edit">
    <arrUserId title="Range2" rangeCreator="" othersAccessPermission="invisible">
      <userID accessPermission="edit">561725722</userID>
      <userID accessPermission="edit">532089789</userID>
      <userID accessPermission="edit">398143753</userID>
      <userID accessPermission="edit">1302296388</userID>
    </arrUserId>
    <arrUserId title="Range3" rangeCreator="" othersAccessPermission="invisible">
      <userID accessPermission="edit">561725722</userID>
      <userID accessPermission="edit">516580082</userID>
      <userID accessPermission="edit">398143753</userID>
      <userID accessPermission="edit">1302296388</userID>
    </arrUserId>
    <arrUserId title="Range4" rangeCreator="" othersAccessPermission="invisible">
      <userID accessPermission="edit">561725722</userID>
      <userID accessPermission="edit">405748998</userID>
      <userID accessPermission="edit">1302296388</userID>
      <userID accessPermission="edit">398143753</userID>
    </arrUserId>
    <arrUserId title="Range5" rangeCreator="" othersAccessPermission="invisible">
      <userID accessPermission="edit">561725722</userID>
      <userID accessPermission="edit">367992201</userID>
      <userID accessPermission="edit">398143753</userID>
      <userID accessPermission="edit">1302296388</userID>
    </arrUserId>
    <arrUserId title="Range6" rangeCreator="" othersAccessPermission="invisible">
      <userID accessPermission="edit">561725722</userID>
      <userID accessPermission="edit">575561912</userID>
      <userID accessPermission="edit">1302296388</userID>
      <userID accessPermission="edit">398143753</userID>
    </arrUserId>
    <arrUserId title="Range7" rangeCreator="" othersAccessPermission="invisible">
      <userID accessPermission="edit">561725722</userID>
      <userID accessPermission="edit">322287971</userID>
      <userID accessPermission="edit">1302296388</userID>
      <userID accessPermission="edit">398143753</userID>
    </arrUserId>
    <arrUserId title="Range9" rangeCreator="" othersAccessPermission="invisible">
      <userID accessPermission="edit">561725722</userID>
      <userID accessPermission="edit">1554217612</userID>
      <userID accessPermission="edit">398143753</userID>
      <userID accessPermission="edit">1302296388</userID>
    </arrUserId>
    <arrUserId title="Range11" rangeCreator="" othersAccessPermission="invisible">
      <userID accessPermission="edit">561725722</userID>
      <userID accessPermission="edit">328541920</userID>
      <userID accessPermission="edit">398143753</userID>
      <userID accessPermission="edit">1302296388</userID>
    </arrUserId>
    <arrUserId title="Range15" rangeCreator="" othersAccessPermission="invisible">
      <userID accessPermission="edit">561725722</userID>
      <userID accessPermission="edit">398143753</userID>
      <userID accessPermission="edit">1302296388</userID>
    </arrUserId>
    <arrUserId title="Range13" rangeCreator="" othersAccessPermission="invisible">
      <userID accessPermission="edit">561725722</userID>
      <userID accessPermission="edit">1302296388</userID>
      <userID accessPermission="edit">398143753</userID>
    </arrUserId>
    <arrUserId title="Range16" rangeCreator="" othersAccessPermission="invisible">
      <userID accessPermission="edit">561725722</userID>
      <userID accessPermission="edit">398143753</userID>
      <userID accessPermission="edit">1302296388</userID>
    </arrUserId>
    <arrUserId title="Range14" rangeCreator="" othersAccessPermission="visible">
      <userID accessPermission="edit">561725722</userID>
      <userID accessPermission="edit">229975385</userID>
      <userID accessPermission="edit">1302296388</userID>
      <userID accessPermission="edit">398143753</userID>
    </arrUserId>
  </rangeList>
  <rangeList sheetStid="11" master="561725722" otherUserPermission="edit">
    <arrUserId title="Range1" rangeCreator="" othersAccessPermission="invisible">
      <userID accessPermission="edit">561725722</userID>
      <userID accessPermission="edit">328541920</userID>
      <userID accessPermission="edit">1302296388</userID>
      <userID accessPermission="edit">398143753</userID>
    </arrUserId>
  </rangeList>
</allowEditUser>
</file>

<file path=customXml/item2.xml>��@b	gċRZP�Q�[gqOo�-N�]�v�|pe�N�O	��S��JS)YbcO�GPg��Y%f��0ASN0ؚ)n0�NN	�<P�s1R/)Y�
NP�3R/g�
�L�egN�{��f�v�{0��3)Y�NGP�X�RlQ_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	cgqOo�-N�]RI{K��|pe�1u(u7bċ�N��Tl�
N�RsQT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WPS Office WWO_wpscloud_20260818174123-ed9259823c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绩效考核分数统计表</vt:lpstr>
      <vt:lpstr>徐殿鑫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SYSTEM</dc:creator>
  <cp:lastModifiedBy>黄圣轩</cp:lastModifiedBy>
  <dcterms:created xsi:type="dcterms:W3CDTF">2025-04-11T00:21:00Z</dcterms:created>
  <dcterms:modified xsi:type="dcterms:W3CDTF">2026-09-21T11:01:14Z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58E84F8A744948E0AEA9431AFA48DC9A_13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