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4200"/>
  </bookViews>
  <sheets>
    <sheet name="汇总" sheetId="30" r:id="rId1"/>
    <sheet name="返聘" sheetId="14" state="hidden" r:id="rId2"/>
    <sheet name="人员结构" sheetId="21" state="hidden" r:id="rId3"/>
    <sheet name="职称分布" sheetId="22" state="hidden" r:id="rId4"/>
    <sheet name="学历分布" sheetId="23" state="hidden" r:id="rId5"/>
    <sheet name="年龄分布" sheetId="24" state="hidden" r:id="rId6"/>
    <sheet name="津贴分布" sheetId="25" state="hidden" r:id="rId7"/>
    <sheet name="技术等级" sheetId="26" state="hidden" r:id="rId8"/>
  </sheets>
  <definedNames>
    <definedName name="_xlnm._FilterDatabase" localSheetId="0" hidden="1">汇总!$A$1:$B$217</definedName>
    <definedName name="__xlfn.COUNTIFS" hidden="1">#NAME?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<sst xmlns="http://schemas.openxmlformats.org/spreadsheetml/2006/main" count="531" uniqueCount="508">
  <si>
    <t>周亚信</t>
  </si>
  <si>
    <t>23010719660622101X</t>
  </si>
  <si>
    <t>韩旭东</t>
  </si>
  <si>
    <t>230107196710131014</t>
  </si>
  <si>
    <t>王永春</t>
  </si>
  <si>
    <t>230702197207080315</t>
  </si>
  <si>
    <t>杨长泳</t>
  </si>
  <si>
    <t>230104196209053113</t>
  </si>
  <si>
    <t>田井成</t>
  </si>
  <si>
    <t>230107196507120870</t>
  </si>
  <si>
    <t>张行明</t>
  </si>
  <si>
    <t>23010719630305105X</t>
  </si>
  <si>
    <t>张向阳</t>
  </si>
  <si>
    <t>230108196711090812</t>
  </si>
  <si>
    <t>冯慧奇</t>
  </si>
  <si>
    <t>410224197906070313</t>
  </si>
  <si>
    <t>高建刚</t>
  </si>
  <si>
    <t>370782197606032874</t>
  </si>
  <si>
    <t>黄海玉</t>
  </si>
  <si>
    <t>230103197312215131</t>
  </si>
  <si>
    <t>姜国华</t>
  </si>
  <si>
    <r>
      <rPr>
        <sz val="11"/>
        <color indexed="8"/>
        <rFont val="宋体"/>
        <charset val="134"/>
      </rPr>
      <t>2</t>
    </r>
    <r>
      <rPr>
        <sz val="11"/>
        <color indexed="8"/>
        <rFont val="宋体"/>
        <charset val="134"/>
      </rPr>
      <t>30103197012273911</t>
    </r>
  </si>
  <si>
    <t>金玉</t>
  </si>
  <si>
    <t>230182198306170707</t>
  </si>
  <si>
    <t>唐勇</t>
  </si>
  <si>
    <t>420603197803210514</t>
  </si>
  <si>
    <t>翟志顺</t>
  </si>
  <si>
    <r>
      <rPr>
        <sz val="11"/>
        <color indexed="8"/>
        <rFont val="宋体"/>
        <charset val="134"/>
      </rPr>
      <t>2</t>
    </r>
    <r>
      <rPr>
        <sz val="11"/>
        <color indexed="8"/>
        <rFont val="宋体"/>
        <charset val="134"/>
      </rPr>
      <t>30230197810081716</t>
    </r>
  </si>
  <si>
    <t>张艳红</t>
  </si>
  <si>
    <t>211223197506261820</t>
  </si>
  <si>
    <t>赵平平</t>
  </si>
  <si>
    <r>
      <rPr>
        <sz val="11"/>
        <color indexed="8"/>
        <rFont val="宋体"/>
        <charset val="134"/>
      </rPr>
      <t>2</t>
    </r>
    <r>
      <rPr>
        <sz val="11"/>
        <color indexed="8"/>
        <rFont val="宋体"/>
        <charset val="134"/>
      </rPr>
      <t>30102197910144349</t>
    </r>
  </si>
  <si>
    <t>钟程斌</t>
  </si>
  <si>
    <t>230107197306230816</t>
  </si>
  <si>
    <t>智连玮</t>
  </si>
  <si>
    <t>230107198306060815</t>
  </si>
  <si>
    <t>王岩琳</t>
  </si>
  <si>
    <t>230104198204253430</t>
  </si>
  <si>
    <t>霍金平</t>
  </si>
  <si>
    <t>15010219750703457X</t>
  </si>
  <si>
    <t>雒军红</t>
  </si>
  <si>
    <t>620522198507121512</t>
  </si>
  <si>
    <t>李鑫</t>
  </si>
  <si>
    <t>230104198708213432</t>
  </si>
  <si>
    <t>何昊</t>
  </si>
  <si>
    <t>410203198903071516</t>
  </si>
  <si>
    <t>葛军</t>
  </si>
  <si>
    <t>210811198108212514</t>
  </si>
  <si>
    <t>刘琦</t>
  </si>
  <si>
    <r>
      <rPr>
        <sz val="11"/>
        <color indexed="8"/>
        <rFont val="宋体"/>
        <charset val="134"/>
      </rPr>
      <t>230606199002030866</t>
    </r>
  </si>
  <si>
    <t>黄威</t>
  </si>
  <si>
    <t>230107197512141021</t>
  </si>
  <si>
    <t>张微</t>
  </si>
  <si>
    <t>230104199007170921</t>
  </si>
  <si>
    <t>张爽</t>
  </si>
  <si>
    <t>220502199102211012</t>
  </si>
  <si>
    <t>张鑫</t>
  </si>
  <si>
    <t>232601197111080214</t>
  </si>
  <si>
    <t>李雅晴</t>
  </si>
  <si>
    <t>230107199607211028</t>
  </si>
  <si>
    <t>孟繁达</t>
  </si>
  <si>
    <t>150404199610271416</t>
  </si>
  <si>
    <t>李羽白</t>
  </si>
  <si>
    <t>230107199702271029</t>
  </si>
  <si>
    <t>江寅钊</t>
  </si>
  <si>
    <t>230107199801290815</t>
  </si>
  <si>
    <t>王艳芬</t>
  </si>
  <si>
    <t>150426199702012188</t>
  </si>
  <si>
    <t>姚明瀚</t>
  </si>
  <si>
    <t>230107200006291216</t>
  </si>
  <si>
    <t>靳涛</t>
  </si>
  <si>
    <t>230107197710111210</t>
  </si>
  <si>
    <t>李景玉</t>
  </si>
  <si>
    <t>230107196803111223</t>
  </si>
  <si>
    <t>李兴平</t>
  </si>
  <si>
    <t>620321197808030313</t>
  </si>
  <si>
    <t>那玉辉</t>
  </si>
  <si>
    <t>230103198502215719</t>
  </si>
  <si>
    <t>尚培轩</t>
  </si>
  <si>
    <t>230107197511151033</t>
  </si>
  <si>
    <t>宋佳音</t>
  </si>
  <si>
    <t>230104198107222624</t>
  </si>
  <si>
    <t>王宇</t>
  </si>
  <si>
    <t>230106197109020012</t>
  </si>
  <si>
    <t>王新洪</t>
  </si>
  <si>
    <t>230107197002221064</t>
  </si>
  <si>
    <t>吴朝霞</t>
  </si>
  <si>
    <t>610103197602222023</t>
  </si>
  <si>
    <t>徐崴</t>
  </si>
  <si>
    <t>230208198201060212</t>
  </si>
  <si>
    <t>赵新青</t>
  </si>
  <si>
    <t>232330198108272418</t>
  </si>
  <si>
    <t>宫玉龙</t>
  </si>
  <si>
    <t>230129197608194214</t>
  </si>
  <si>
    <t>荣雪</t>
  </si>
  <si>
    <t>220183198509293429</t>
  </si>
  <si>
    <t>李轶青</t>
  </si>
  <si>
    <t>230107198702051013</t>
  </si>
  <si>
    <t>任立宇</t>
  </si>
  <si>
    <t>232324198407220610</t>
  </si>
  <si>
    <t>张欣菊</t>
  </si>
  <si>
    <t>230107197212071025</t>
  </si>
  <si>
    <t>庞国强</t>
  </si>
  <si>
    <t>232325199008031215</t>
  </si>
  <si>
    <t>艾勃</t>
  </si>
  <si>
    <t>23030219920131531X</t>
  </si>
  <si>
    <t>司宏波</t>
  </si>
  <si>
    <t>220422199510151215</t>
  </si>
  <si>
    <t>于鹤</t>
  </si>
  <si>
    <t>220721199712161016</t>
  </si>
  <si>
    <t>孙阳</t>
  </si>
  <si>
    <t>152123199906021517</t>
  </si>
  <si>
    <t>罗阳</t>
  </si>
  <si>
    <t>230902199511088039</t>
  </si>
  <si>
    <t>邢晓毅</t>
  </si>
  <si>
    <t>130525200009211913</t>
  </si>
  <si>
    <t>仇新明</t>
  </si>
  <si>
    <t>230107197904061012</t>
  </si>
  <si>
    <t>于久清</t>
  </si>
  <si>
    <t>230107196308251050</t>
  </si>
  <si>
    <t>李天龙</t>
  </si>
  <si>
    <t>230104200003208713</t>
  </si>
  <si>
    <t>杜闻轩</t>
  </si>
  <si>
    <t>230107199904132019</t>
  </si>
  <si>
    <t>吉举正</t>
  </si>
  <si>
    <t>632126197606120016</t>
  </si>
  <si>
    <t>李冰</t>
  </si>
  <si>
    <t>230107197312221529</t>
  </si>
  <si>
    <t>李军</t>
  </si>
  <si>
    <t>230103197101142817</t>
  </si>
  <si>
    <t>刘俊英</t>
  </si>
  <si>
    <t>230107196701071021</t>
  </si>
  <si>
    <t>孟祥欣</t>
  </si>
  <si>
    <t>230402197712220319</t>
  </si>
  <si>
    <t>王力强</t>
  </si>
  <si>
    <t>220204198407100630</t>
  </si>
  <si>
    <t>温海明</t>
  </si>
  <si>
    <t>232331198103210000</t>
  </si>
  <si>
    <t>宋宏超</t>
  </si>
  <si>
    <t>232321198608081419</t>
  </si>
  <si>
    <t>董巍</t>
  </si>
  <si>
    <t>230107198407140822</t>
  </si>
  <si>
    <t>刘瑜</t>
  </si>
  <si>
    <t>232700198201201028</t>
  </si>
  <si>
    <t>张雪冬</t>
  </si>
  <si>
    <t>230103197212173616</t>
  </si>
  <si>
    <t>王子维</t>
  </si>
  <si>
    <t>230102198610061618</t>
  </si>
  <si>
    <t>张虹</t>
  </si>
  <si>
    <t>150403198803120517</t>
  </si>
  <si>
    <t>史博勋</t>
  </si>
  <si>
    <t>23010419900127341X</t>
  </si>
  <si>
    <t>丁旭东</t>
  </si>
  <si>
    <t>22050319870905051X</t>
  </si>
  <si>
    <t>尹璐</t>
  </si>
  <si>
    <t>230107199206071028</t>
  </si>
  <si>
    <t>史孝轩</t>
  </si>
  <si>
    <t>230107198808180833</t>
  </si>
  <si>
    <t>季聪</t>
  </si>
  <si>
    <t>220802199106190649</t>
  </si>
  <si>
    <t>牛彦文</t>
  </si>
  <si>
    <t>230102199009166114</t>
  </si>
  <si>
    <t>顾元昊</t>
  </si>
  <si>
    <t>210602199212122014</t>
  </si>
  <si>
    <t>张大明</t>
  </si>
  <si>
    <t>220381199105105236</t>
  </si>
  <si>
    <t>陈尚华</t>
  </si>
  <si>
    <t>230183199507100618</t>
  </si>
  <si>
    <t>薛向峰</t>
  </si>
  <si>
    <t>142231199303233012</t>
  </si>
  <si>
    <t>刘昱光</t>
  </si>
  <si>
    <t>230103197910307028</t>
  </si>
  <si>
    <t>王春山</t>
  </si>
  <si>
    <t>232103199711213716</t>
  </si>
  <si>
    <t>龚晨曦</t>
  </si>
  <si>
    <t>230108199709131420</t>
  </si>
  <si>
    <t>刘鑫宇</t>
  </si>
  <si>
    <t>231121199912220113</t>
  </si>
  <si>
    <t>张晓龙</t>
  </si>
  <si>
    <t>210504198809130554</t>
  </si>
  <si>
    <t>关富雷</t>
  </si>
  <si>
    <t>232101197509180613</t>
  </si>
  <si>
    <t>李荣生</t>
  </si>
  <si>
    <t>230523197911091510</t>
  </si>
  <si>
    <t>陈明</t>
  </si>
  <si>
    <t>230321197010066218</t>
  </si>
  <si>
    <t>付康</t>
  </si>
  <si>
    <t>22070219840617021X</t>
  </si>
  <si>
    <t>甘洪丰</t>
  </si>
  <si>
    <t>210122198507090359</t>
  </si>
  <si>
    <t>段伟赞</t>
  </si>
  <si>
    <t>130982198408290734</t>
  </si>
  <si>
    <t>张成军</t>
  </si>
  <si>
    <t>152122198312271892</t>
  </si>
  <si>
    <t>崔全江</t>
  </si>
  <si>
    <t>232325198703162837</t>
  </si>
  <si>
    <t>赵文博</t>
  </si>
  <si>
    <t>220202198809203912</t>
  </si>
  <si>
    <t>王程锦</t>
  </si>
  <si>
    <t>371081199509042419</t>
  </si>
  <si>
    <t>张舜智</t>
  </si>
  <si>
    <t>211381199703080031</t>
  </si>
  <si>
    <t>周宇飞</t>
  </si>
  <si>
    <t>211421199512085613</t>
  </si>
  <si>
    <t>徐波</t>
  </si>
  <si>
    <t>232325197306191015</t>
  </si>
  <si>
    <t>王文彪</t>
  </si>
  <si>
    <t>230107197406011274</t>
  </si>
  <si>
    <t>刘妍</t>
  </si>
  <si>
    <t>230103198401045722</t>
  </si>
  <si>
    <t>雷居春</t>
  </si>
  <si>
    <t>230882198602221271</t>
  </si>
  <si>
    <t>汪生</t>
  </si>
  <si>
    <t>231025199004054033</t>
  </si>
  <si>
    <t>徐喜林</t>
  </si>
  <si>
    <t>230107196810242037</t>
  </si>
  <si>
    <t>吴海龙</t>
  </si>
  <si>
    <t>230711198301180110</t>
  </si>
  <si>
    <t>乔宏来</t>
  </si>
  <si>
    <t>230503197105270017</t>
  </si>
  <si>
    <t>张时维</t>
  </si>
  <si>
    <t>210703199601183613</t>
  </si>
  <si>
    <t>赵波</t>
  </si>
  <si>
    <t>210711199802224012</t>
  </si>
  <si>
    <t>周吉源</t>
  </si>
  <si>
    <t>230103199505081917</t>
  </si>
  <si>
    <t>李道兴</t>
  </si>
  <si>
    <t>230102197710120414</t>
  </si>
  <si>
    <t>武兴刚</t>
  </si>
  <si>
    <t>232325199401233235</t>
  </si>
  <si>
    <t>温丹阳</t>
  </si>
  <si>
    <t>230407199506080117</t>
  </si>
  <si>
    <t>张锦瑞</t>
  </si>
  <si>
    <t>220421200005220215</t>
  </si>
  <si>
    <t>肖俊泽</t>
  </si>
  <si>
    <t>230183200107144211</t>
  </si>
  <si>
    <t>刘昊</t>
  </si>
  <si>
    <t>150403199709011511</t>
  </si>
  <si>
    <t>苗旺</t>
  </si>
  <si>
    <t>230406198805180010</t>
  </si>
  <si>
    <t>邓小民</t>
  </si>
  <si>
    <t>230103196811055537</t>
  </si>
  <si>
    <t>周帅</t>
  </si>
  <si>
    <t>210726198708033711</t>
  </si>
  <si>
    <t>李鹏</t>
  </si>
  <si>
    <t>230106198106231433</t>
  </si>
  <si>
    <t>许策</t>
  </si>
  <si>
    <t>230106199303051719</t>
  </si>
  <si>
    <t>汪永东</t>
  </si>
  <si>
    <t>230107196708151016</t>
  </si>
  <si>
    <t>李萃</t>
  </si>
  <si>
    <t>230107197204061062</t>
  </si>
  <si>
    <t>王子林</t>
  </si>
  <si>
    <t>230107199212251025</t>
  </si>
  <si>
    <t>昝竹青</t>
  </si>
  <si>
    <t>23028119861026431X</t>
  </si>
  <si>
    <t>刘福仁</t>
  </si>
  <si>
    <t>232126198809172318</t>
  </si>
  <si>
    <t>由卉</t>
  </si>
  <si>
    <t>230107196803272043</t>
  </si>
  <si>
    <t>郑超</t>
  </si>
  <si>
    <t>230203198712220634</t>
  </si>
  <si>
    <t>米佳鑫</t>
  </si>
  <si>
    <t>231084199608073710</t>
  </si>
  <si>
    <t>李冰1</t>
  </si>
  <si>
    <t>620103196711261053</t>
  </si>
  <si>
    <t>刘敏</t>
  </si>
  <si>
    <t>230107197008090632</t>
  </si>
  <si>
    <t>阚迪</t>
  </si>
  <si>
    <t>230524197506091513</t>
  </si>
  <si>
    <t>温峰</t>
  </si>
  <si>
    <t>14062119940920521X</t>
  </si>
  <si>
    <t>委志雄</t>
  </si>
  <si>
    <t>622322198401202411</t>
  </si>
  <si>
    <t>李贺唯</t>
  </si>
  <si>
    <t>230103198804120619</t>
  </si>
  <si>
    <t>朱军</t>
  </si>
  <si>
    <t>230224198411040631</t>
  </si>
  <si>
    <t>耿亮</t>
  </si>
  <si>
    <t>230107198107130614</t>
  </si>
  <si>
    <t>李树伟</t>
  </si>
  <si>
    <t>230107197003181033</t>
  </si>
  <si>
    <t>孙波</t>
  </si>
  <si>
    <t>230104197612190219</t>
  </si>
  <si>
    <t>徐雷</t>
  </si>
  <si>
    <t>342222198112156073</t>
  </si>
  <si>
    <t>朱强</t>
  </si>
  <si>
    <t>23010719710101081X</t>
  </si>
  <si>
    <t>戴鼎章</t>
  </si>
  <si>
    <t>230102198311110053</t>
  </si>
  <si>
    <t>薛爱迪</t>
  </si>
  <si>
    <t>230103199510117013</t>
  </si>
  <si>
    <t>徐殿鑫</t>
  </si>
  <si>
    <t>230702199005160017</t>
  </si>
  <si>
    <t>黄圣轩</t>
  </si>
  <si>
    <t>230828199802256416</t>
  </si>
  <si>
    <t>贾瑞燕</t>
  </si>
  <si>
    <t>13010419851026154X</t>
  </si>
  <si>
    <t>周雨欣</t>
  </si>
  <si>
    <t>230183199701300621</t>
  </si>
  <si>
    <t>司亮</t>
  </si>
  <si>
    <t>23012119850324061X</t>
  </si>
  <si>
    <t>李海星</t>
  </si>
  <si>
    <t>230881199201152218</t>
  </si>
  <si>
    <t>王金彪</t>
  </si>
  <si>
    <t>232103199203202818</t>
  </si>
  <si>
    <t>高畅</t>
  </si>
  <si>
    <t>23010319990529134X</t>
  </si>
  <si>
    <t>芦恒亮</t>
  </si>
  <si>
    <t>230903200202141416</t>
  </si>
  <si>
    <t>赵鑫</t>
  </si>
  <si>
    <t>230229200105111544</t>
  </si>
  <si>
    <t>孙乔</t>
  </si>
  <si>
    <t>230103200008104255</t>
  </si>
  <si>
    <t>张钧诚</t>
  </si>
  <si>
    <t>230802199607030530</t>
  </si>
  <si>
    <t>张潜</t>
  </si>
  <si>
    <t>230105199802060517</t>
  </si>
  <si>
    <t>郝秋宇</t>
  </si>
  <si>
    <t>231002199809210529</t>
  </si>
  <si>
    <t>陈卓</t>
  </si>
  <si>
    <t>230281199702100210</t>
  </si>
  <si>
    <t>司马荷山</t>
  </si>
  <si>
    <t>230204200103180215</t>
  </si>
  <si>
    <t>吴英男</t>
  </si>
  <si>
    <t>230121200011102413</t>
  </si>
  <si>
    <t>张健</t>
  </si>
  <si>
    <t>230122199701303213</t>
  </si>
  <si>
    <t>季嗣珉</t>
  </si>
  <si>
    <t>230903199606211411</t>
  </si>
  <si>
    <t>刘熙</t>
  </si>
  <si>
    <t>430426200110264990</t>
  </si>
  <si>
    <t>赵龙龙</t>
  </si>
  <si>
    <t>341281200105238977</t>
  </si>
  <si>
    <t>王博辉</t>
  </si>
  <si>
    <t>62262819990222145X</t>
  </si>
  <si>
    <t>徐志民</t>
  </si>
  <si>
    <t>13032120020310121X</t>
  </si>
  <si>
    <t>王重玙</t>
  </si>
  <si>
    <t>320311200104247910</t>
  </si>
  <si>
    <t>任君浩</t>
  </si>
  <si>
    <t>220323200210276012</t>
  </si>
  <si>
    <t>田野</t>
  </si>
  <si>
    <t>230229199508154316</t>
  </si>
  <si>
    <t>李哲浩</t>
  </si>
  <si>
    <t>152127199901103316</t>
  </si>
  <si>
    <t>刘唯</t>
  </si>
  <si>
    <t>152326199810240424</t>
  </si>
  <si>
    <t>盛佳欣</t>
  </si>
  <si>
    <t>239005200207090023</t>
  </si>
  <si>
    <t>张加继</t>
  </si>
  <si>
    <t>230123199802252458</t>
  </si>
  <si>
    <t>王悦</t>
  </si>
  <si>
    <t>230183200012264827</t>
  </si>
  <si>
    <t>邵晨光</t>
  </si>
  <si>
    <t>232303200205112011</t>
  </si>
  <si>
    <t>郑嘉琪</t>
  </si>
  <si>
    <t>230125199806191026</t>
  </si>
  <si>
    <t>王金海</t>
  </si>
  <si>
    <t>230902199901170011</t>
  </si>
  <si>
    <t>李松雨</t>
  </si>
  <si>
    <t>239005200111142511</t>
  </si>
  <si>
    <t>卢天田</t>
  </si>
  <si>
    <t>230103199810125728</t>
  </si>
  <si>
    <t>李哲铭</t>
  </si>
  <si>
    <t>230103199911190617</t>
  </si>
  <si>
    <t>杜殿龙</t>
  </si>
  <si>
    <t>231025199912031814</t>
  </si>
  <si>
    <t>曾昊</t>
  </si>
  <si>
    <t>232324200209020335</t>
  </si>
  <si>
    <t>左书凝</t>
  </si>
  <si>
    <t>321323200107200241</t>
  </si>
  <si>
    <t>谭文翔</t>
  </si>
  <si>
    <t>430482200212047250</t>
  </si>
  <si>
    <t>罗宇靖</t>
  </si>
  <si>
    <t>450521200201137337</t>
  </si>
  <si>
    <t>李泽</t>
  </si>
  <si>
    <t>362329200203180339</t>
  </si>
  <si>
    <t>李晓越</t>
  </si>
  <si>
    <t>370983199907032313</t>
  </si>
  <si>
    <t>潘俊卿</t>
  </si>
  <si>
    <t>230904199610050514</t>
  </si>
  <si>
    <t>尹辉</t>
  </si>
  <si>
    <t xml:space="preserve">340121199612162219
</t>
  </si>
  <si>
    <t>张继元</t>
  </si>
  <si>
    <t>230102199804162614</t>
  </si>
  <si>
    <t>刘飞</t>
  </si>
  <si>
    <t>211381199910287019</t>
  </si>
  <si>
    <t>黄文昊</t>
  </si>
  <si>
    <t>张学润</t>
  </si>
  <si>
    <t>421182199710023419</t>
  </si>
  <si>
    <t>杨雪</t>
  </si>
  <si>
    <t>230103199711083227</t>
  </si>
  <si>
    <t>杨国庆</t>
  </si>
  <si>
    <t>230231199910012713</t>
  </si>
  <si>
    <t>徐昂</t>
  </si>
  <si>
    <t>230403199912220212</t>
  </si>
  <si>
    <t>李梓豪</t>
  </si>
  <si>
    <t>33250120030603021X</t>
  </si>
  <si>
    <t>黄弋轩</t>
  </si>
  <si>
    <t>23060419981230511X</t>
  </si>
  <si>
    <t>范佳昕</t>
  </si>
  <si>
    <t>23020420000525142X</t>
  </si>
  <si>
    <t>党洪宇</t>
  </si>
  <si>
    <t>220203200302232112</t>
  </si>
  <si>
    <t>王新宇</t>
  </si>
  <si>
    <t>230621199810020475</t>
  </si>
  <si>
    <t>谷慧群</t>
  </si>
  <si>
    <t>232303200101161820</t>
  </si>
  <si>
    <t>韩忠瑞</t>
  </si>
  <si>
    <t>230904200012170319</t>
  </si>
  <si>
    <t>殷赫</t>
  </si>
  <si>
    <t>230181200003184734</t>
  </si>
  <si>
    <t>孙一非</t>
  </si>
  <si>
    <t>230107200301271226</t>
  </si>
  <si>
    <t>崔清毅</t>
  </si>
  <si>
    <t>522225200310183630</t>
  </si>
  <si>
    <t>姚舜</t>
  </si>
  <si>
    <t>321324200210167822</t>
  </si>
  <si>
    <t>闫腾飞</t>
  </si>
  <si>
    <t>41162520030720335X</t>
  </si>
  <si>
    <t>何磊</t>
  </si>
  <si>
    <t>210702199710150618</t>
  </si>
  <si>
    <t>陈驰宇</t>
  </si>
  <si>
    <t>321023200203290017</t>
  </si>
  <si>
    <t>朱国伟</t>
  </si>
  <si>
    <t>320323200303034235</t>
  </si>
  <si>
    <t>莫小峰</t>
  </si>
  <si>
    <t>230624200110192852</t>
  </si>
  <si>
    <t>吴昀</t>
  </si>
  <si>
    <t>321081200308210312</t>
  </si>
  <si>
    <t>朱梓晴</t>
  </si>
  <si>
    <t>230107199904061046</t>
  </si>
  <si>
    <t>单位</t>
  </si>
  <si>
    <t>班组</t>
  </si>
  <si>
    <t>姓名</t>
  </si>
  <si>
    <t>性别</t>
  </si>
  <si>
    <t>出生日</t>
  </si>
  <si>
    <t>身份证号</t>
  </si>
  <si>
    <t>籍贯</t>
  </si>
  <si>
    <t>民族</t>
  </si>
  <si>
    <t>工作时间</t>
  </si>
  <si>
    <t>入厂时间</t>
  </si>
  <si>
    <t>第一学历</t>
  </si>
  <si>
    <t>毕业学校</t>
  </si>
  <si>
    <t>所学专业</t>
  </si>
  <si>
    <t>毕业时间</t>
  </si>
  <si>
    <t>现学历</t>
  </si>
  <si>
    <t>职称</t>
  </si>
  <si>
    <t>晋职时间</t>
  </si>
  <si>
    <t>职称证号</t>
  </si>
  <si>
    <t>人员分类</t>
  </si>
  <si>
    <t>职别</t>
  </si>
  <si>
    <t>工种</t>
  </si>
  <si>
    <t>现岗位</t>
  </si>
  <si>
    <t>现岗位类别</t>
  </si>
  <si>
    <t>职务津贴</t>
  </si>
  <si>
    <t>职务</t>
  </si>
  <si>
    <t>政治面貌</t>
  </si>
  <si>
    <t>入党时间</t>
  </si>
  <si>
    <t>家庭住址</t>
  </si>
  <si>
    <t>住宅电话</t>
  </si>
  <si>
    <t>爱人姓名</t>
  </si>
  <si>
    <t>爱人单位</t>
  </si>
  <si>
    <t>爱人联系电话</t>
  </si>
  <si>
    <t>餐卡号</t>
  </si>
  <si>
    <t>公积金帐号</t>
  </si>
  <si>
    <t>考勤卡编号</t>
  </si>
  <si>
    <t>返回目录</t>
  </si>
  <si>
    <t>人员类别</t>
  </si>
  <si>
    <t>人 数</t>
  </si>
  <si>
    <t>总人数</t>
  </si>
  <si>
    <t>工艺员</t>
  </si>
  <si>
    <t>中干</t>
  </si>
  <si>
    <t>更夫</t>
  </si>
  <si>
    <t>定额员</t>
  </si>
  <si>
    <t>电焊工</t>
  </si>
  <si>
    <t>职 称</t>
  </si>
  <si>
    <t>技术员</t>
  </si>
  <si>
    <t>助理工程师</t>
  </si>
  <si>
    <t>工程师</t>
  </si>
  <si>
    <t>高级工程师</t>
  </si>
  <si>
    <t>无职称</t>
  </si>
  <si>
    <t>学 历</t>
  </si>
  <si>
    <t>高中</t>
  </si>
  <si>
    <t>中专</t>
  </si>
  <si>
    <t>大专</t>
  </si>
  <si>
    <t>本科</t>
  </si>
  <si>
    <t>硕士</t>
  </si>
  <si>
    <t>博士</t>
  </si>
  <si>
    <t>大专及以下</t>
  </si>
  <si>
    <t>时 间</t>
  </si>
  <si>
    <t>50年代</t>
  </si>
  <si>
    <t>60年代</t>
  </si>
  <si>
    <t>70年代</t>
  </si>
  <si>
    <t>80年代</t>
  </si>
  <si>
    <t>90年代</t>
  </si>
  <si>
    <t>平均年龄</t>
  </si>
  <si>
    <t>无津贴</t>
  </si>
  <si>
    <t>关键设备</t>
  </si>
  <si>
    <t>关键岗位</t>
  </si>
  <si>
    <t>技师</t>
  </si>
  <si>
    <t>高级技师</t>
  </si>
  <si>
    <t>助理主任工程师</t>
  </si>
  <si>
    <t>副主任工程师</t>
  </si>
  <si>
    <t>主任工程师</t>
  </si>
  <si>
    <t>专业带头人</t>
  </si>
  <si>
    <t>助理专业总师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</si>
</sst>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39">
    <font>
      <sz val="11"/>
      <color indexed="8"/>
      <name val="宋体"/>
      <charset val="134"/>
    </font>
    <font>
      <b/>
      <sz val="12"/>
      <name val="宋体"/>
      <charset val="134"/>
    </font>
    <font>
      <sz val="12"/>
      <color indexed="8"/>
      <name val="宋体"/>
      <charset val="134"/>
    </font>
    <font>
      <u/>
      <sz val="12"/>
      <color indexed="12"/>
      <name val="宋体"/>
      <charset val="134"/>
    </font>
    <font>
      <b/>
      <sz val="11"/>
      <name val="宋体"/>
      <charset val="134"/>
    </font>
    <font>
      <u/>
      <sz val="11"/>
      <color indexed="12"/>
      <name val="宋体"/>
      <charset val="134"/>
    </font>
    <font>
      <b/>
      <sz val="20"/>
      <name val="宋体"/>
      <charset val="134"/>
    </font>
    <font>
      <b/>
      <sz val="18"/>
      <name val="宋体"/>
      <charset val="134"/>
    </font>
    <font>
      <b/>
      <sz val="18"/>
      <color theme="1"/>
      <name val="宋体"/>
      <charset val="134"/>
    </font>
    <font>
      <b/>
      <sz val="10"/>
      <color indexed="12"/>
      <name val="宋体"/>
      <charset val="134"/>
    </font>
    <font>
      <b/>
      <sz val="10"/>
      <color indexed="18"/>
      <name val="宋体"/>
      <charset val="134"/>
    </font>
    <font>
      <b/>
      <sz val="10"/>
      <color indexed="12"/>
      <name val="华文宋体"/>
      <charset val="134"/>
    </font>
    <font>
      <sz val="10"/>
      <color indexed="18"/>
      <name val="宋体"/>
      <charset val="134"/>
    </font>
    <font>
      <sz val="10"/>
      <color indexed="12"/>
      <name val="宋体"/>
      <charset val="134"/>
    </font>
    <font>
      <sz val="12"/>
      <name val="宋体"/>
      <charset val="134"/>
    </font>
    <font>
      <sz val="11"/>
      <name val="宋体"/>
      <charset val="134"/>
    </font>
    <font>
      <sz val="10"/>
      <color indexed="8"/>
      <name val="宋体"/>
      <charset val="134"/>
    </font>
    <font>
      <sz val="11"/>
      <color rgb="FF414141"/>
      <name val="微软雅黑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0"/>
      <name val="等线"/>
      <charset val="134"/>
    </font>
  </fonts>
  <fills count="42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medium">
        <color indexed="53"/>
      </bottom>
      <diagonal/>
    </border>
    <border>
      <left/>
      <right/>
      <top style="thin">
        <color indexed="8"/>
      </top>
      <bottom style="medium">
        <color indexed="53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53"/>
      </bottom>
      <diagonal/>
    </border>
    <border>
      <left/>
      <right/>
      <top/>
      <bottom style="medium">
        <color indexed="53"/>
      </bottom>
      <diagonal/>
    </border>
    <border>
      <left style="medium">
        <color indexed="53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53"/>
      </right>
      <top/>
      <bottom style="thin">
        <color auto="1"/>
      </bottom>
      <diagonal/>
    </border>
    <border>
      <left style="medium">
        <color indexed="53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53"/>
      </right>
      <top style="thin">
        <color auto="1"/>
      </top>
      <bottom style="thin">
        <color auto="1"/>
      </bottom>
      <diagonal/>
    </border>
    <border>
      <left style="medium">
        <color indexed="53"/>
      </left>
      <right style="thin">
        <color auto="1"/>
      </right>
      <top style="thin">
        <color auto="1"/>
      </top>
      <bottom style="medium">
        <color indexed="53"/>
      </bottom>
      <diagonal/>
    </border>
    <border>
      <left style="thin">
        <color auto="1"/>
      </left>
      <right style="medium">
        <color indexed="53"/>
      </right>
      <top style="thin">
        <color auto="1"/>
      </top>
      <bottom style="medium">
        <color indexed="53"/>
      </bottom>
      <diagonal/>
    </border>
    <border>
      <left style="medium">
        <color indexed="17"/>
      </left>
      <right style="thin">
        <color indexed="8"/>
      </right>
      <top style="medium">
        <color indexed="17"/>
      </top>
      <bottom style="thin">
        <color indexed="8"/>
      </bottom>
      <diagonal/>
    </border>
    <border>
      <left style="thin">
        <color indexed="8"/>
      </left>
      <right style="medium">
        <color indexed="17"/>
      </right>
      <top style="medium">
        <color indexed="17"/>
      </top>
      <bottom style="thin">
        <color indexed="8"/>
      </bottom>
      <diagonal/>
    </border>
    <border>
      <left style="medium">
        <color indexed="17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17"/>
      </right>
      <top style="thin">
        <color indexed="8"/>
      </top>
      <bottom style="thin">
        <color indexed="8"/>
      </bottom>
      <diagonal/>
    </border>
    <border>
      <left style="medium">
        <color indexed="17"/>
      </left>
      <right style="thin">
        <color indexed="8"/>
      </right>
      <top/>
      <bottom style="medium">
        <color indexed="17"/>
      </bottom>
      <diagonal/>
    </border>
    <border>
      <left style="thin">
        <color indexed="8"/>
      </left>
      <right style="medium">
        <color indexed="17"/>
      </right>
      <top/>
      <bottom style="medium">
        <color indexed="1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53"/>
      </bottom>
      <diagonal/>
    </border>
    <border>
      <left style="medium">
        <color indexed="49"/>
      </left>
      <right style="thin">
        <color auto="1"/>
      </right>
      <top style="medium">
        <color indexed="49"/>
      </top>
      <bottom style="thin">
        <color auto="1"/>
      </bottom>
      <diagonal/>
    </border>
    <border>
      <left style="thin">
        <color auto="1"/>
      </left>
      <right style="medium">
        <color indexed="49"/>
      </right>
      <top style="medium">
        <color indexed="49"/>
      </top>
      <bottom style="thin">
        <color auto="1"/>
      </bottom>
      <diagonal/>
    </border>
    <border>
      <left style="medium">
        <color indexed="49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49"/>
      </right>
      <top style="thin">
        <color auto="1"/>
      </top>
      <bottom style="thin">
        <color auto="1"/>
      </bottom>
      <diagonal/>
    </border>
    <border>
      <left style="medium">
        <color indexed="49"/>
      </left>
      <right style="thin">
        <color auto="1"/>
      </right>
      <top style="thin">
        <color auto="1"/>
      </top>
      <bottom style="medium">
        <color indexed="49"/>
      </bottom>
      <diagonal/>
    </border>
    <border>
      <left style="thin">
        <color auto="1"/>
      </left>
      <right style="medium">
        <color indexed="49"/>
      </right>
      <top style="thin">
        <color auto="1"/>
      </top>
      <bottom style="medium">
        <color indexed="49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medium">
        <color indexed="49"/>
      </left>
      <right/>
      <top style="medium">
        <color indexed="49"/>
      </top>
      <bottom/>
      <diagonal/>
    </border>
    <border>
      <left/>
      <right/>
      <top style="medium">
        <color indexed="49"/>
      </top>
      <bottom/>
      <diagonal/>
    </border>
    <border>
      <left style="medium">
        <color indexed="53"/>
      </left>
      <right style="thin">
        <color indexed="8"/>
      </right>
      <top style="medium">
        <color indexed="53"/>
      </top>
      <bottom style="thin">
        <color indexed="8"/>
      </bottom>
      <diagonal/>
    </border>
    <border>
      <left/>
      <right style="medium">
        <color indexed="53"/>
      </right>
      <top style="medium">
        <color indexed="53"/>
      </top>
      <bottom style="thin">
        <color indexed="8"/>
      </bottom>
      <diagonal/>
    </border>
    <border>
      <left style="medium">
        <color indexed="53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14" borderId="37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38" applyNumberFormat="0" applyFill="0" applyAlignment="0" applyProtection="0">
      <alignment vertical="center"/>
    </xf>
    <xf numFmtId="0" fontId="25" fillId="0" borderId="38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5" borderId="40" applyNumberFormat="0" applyAlignment="0" applyProtection="0">
      <alignment vertical="center"/>
    </xf>
    <xf numFmtId="0" fontId="28" fillId="16" borderId="41" applyNumberFormat="0" applyAlignment="0" applyProtection="0">
      <alignment vertical="center"/>
    </xf>
    <xf numFmtId="0" fontId="29" fillId="16" borderId="40" applyNumberFormat="0" applyAlignment="0" applyProtection="0">
      <alignment vertical="center"/>
    </xf>
    <xf numFmtId="0" fontId="30" fillId="17" borderId="42" applyNumberFormat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5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" fillId="0" borderId="0">
      <protection locked="0"/>
    </xf>
    <xf numFmtId="0" fontId="0" fillId="0" borderId="0">
      <alignment vertical="center"/>
    </xf>
    <xf numFmtId="0" fontId="0" fillId="0" borderId="0">
      <alignment vertical="center"/>
    </xf>
    <xf numFmtId="0" fontId="38" fillId="0" borderId="0">
      <alignment vertical="center"/>
    </xf>
    <xf numFmtId="0" fontId="0" fillId="0" borderId="0">
      <alignment vertical="center"/>
    </xf>
    <xf numFmtId="0" fontId="0" fillId="0" borderId="0">
      <protection locked="0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93">
    <xf numFmtId="0" fontId="0" fillId="0" borderId="0" xfId="0">
      <alignment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0" fillId="0" borderId="0" xfId="0" applyFont="1">
      <alignment vertic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14" fontId="2" fillId="0" borderId="0" xfId="0" applyNumberFormat="1" applyFont="1" applyAlignment="1"/>
    <xf numFmtId="0" fontId="2" fillId="0" borderId="0" xfId="0" applyFont="1" applyAlignment="1"/>
    <xf numFmtId="0" fontId="1" fillId="0" borderId="0" xfId="0" applyFont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/>
    </xf>
    <xf numFmtId="176" fontId="1" fillId="3" borderId="4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49" fontId="3" fillId="3" borderId="19" xfId="6" applyNumberFormat="1" applyFill="1" applyBorder="1" applyAlignment="1">
      <alignment horizontal="center" vertical="center" shrinkToFit="1"/>
    </xf>
    <xf numFmtId="0" fontId="1" fillId="0" borderId="6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0" xfId="0" applyFont="1" applyAlignment="1"/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4" borderId="19" xfId="0" applyFont="1" applyFill="1" applyBorder="1" applyAlignment="1">
      <alignment horizontal="center"/>
    </xf>
    <xf numFmtId="0" fontId="4" fillId="5" borderId="19" xfId="0" applyFont="1" applyFill="1" applyBorder="1" applyAlignment="1">
      <alignment horizontal="center"/>
    </xf>
    <xf numFmtId="0" fontId="4" fillId="3" borderId="19" xfId="0" applyFont="1" applyFill="1" applyBorder="1" applyAlignment="1">
      <alignment horizontal="center"/>
    </xf>
    <xf numFmtId="0" fontId="4" fillId="6" borderId="19" xfId="0" applyFont="1" applyFill="1" applyBorder="1" applyAlignment="1">
      <alignment horizontal="center"/>
    </xf>
    <xf numFmtId="0" fontId="4" fillId="7" borderId="19" xfId="0" applyFont="1" applyFill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0" fillId="0" borderId="0" xfId="0" applyFont="1" applyAlignment="1"/>
    <xf numFmtId="49" fontId="5" fillId="3" borderId="19" xfId="6" applyNumberFormat="1" applyFont="1" applyFill="1" applyBorder="1" applyAlignment="1">
      <alignment horizontal="center" vertical="center" shrinkToFit="1"/>
    </xf>
    <xf numFmtId="0" fontId="6" fillId="0" borderId="28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7" fillId="3" borderId="30" xfId="0" applyFont="1" applyFill="1" applyBorder="1" applyAlignment="1">
      <alignment horizontal="center"/>
    </xf>
    <xf numFmtId="0" fontId="7" fillId="3" borderId="31" xfId="0" applyFont="1" applyFill="1" applyBorder="1" applyAlignment="1">
      <alignment horizontal="center"/>
    </xf>
    <xf numFmtId="0" fontId="7" fillId="8" borderId="7" xfId="0" applyFont="1" applyFill="1" applyBorder="1" applyAlignment="1">
      <alignment horizontal="center" vertical="center"/>
    </xf>
    <xf numFmtId="0" fontId="8" fillId="9" borderId="32" xfId="0" applyFont="1" applyFill="1" applyBorder="1" applyAlignment="1">
      <alignment horizontal="center" vertical="center"/>
    </xf>
    <xf numFmtId="0" fontId="7" fillId="10" borderId="11" xfId="0" applyFont="1" applyFill="1" applyBorder="1" applyAlignment="1">
      <alignment horizontal="center" vertical="center"/>
    </xf>
    <xf numFmtId="0" fontId="7" fillId="10" borderId="31" xfId="0" applyFont="1" applyFill="1" applyBorder="1" applyAlignment="1">
      <alignment horizontal="center"/>
    </xf>
    <xf numFmtId="0" fontId="7" fillId="11" borderId="11" xfId="0" applyFont="1" applyFill="1" applyBorder="1" applyAlignment="1">
      <alignment horizontal="center" vertical="center"/>
    </xf>
    <xf numFmtId="0" fontId="7" fillId="11" borderId="31" xfId="0" applyFont="1" applyFill="1" applyBorder="1" applyAlignment="1">
      <alignment horizontal="center"/>
    </xf>
    <xf numFmtId="0" fontId="7" fillId="12" borderId="11" xfId="0" applyFont="1" applyFill="1" applyBorder="1" applyAlignment="1">
      <alignment horizontal="center" vertical="center"/>
    </xf>
    <xf numFmtId="0" fontId="0" fillId="0" borderId="0" xfId="0" applyAlignment="1"/>
    <xf numFmtId="49" fontId="9" fillId="0" borderId="19" xfId="0" applyNumberFormat="1" applyFont="1" applyBorder="1" applyAlignment="1">
      <alignment horizontal="center" vertical="center" shrinkToFit="1"/>
    </xf>
    <xf numFmtId="49" fontId="9" fillId="0" borderId="33" xfId="0" applyNumberFormat="1" applyFont="1" applyBorder="1" applyAlignment="1">
      <alignment horizontal="center" vertical="center" shrinkToFit="1"/>
    </xf>
    <xf numFmtId="49" fontId="10" fillId="0" borderId="34" xfId="0" applyNumberFormat="1" applyFont="1" applyBorder="1" applyAlignment="1">
      <alignment horizontal="center" vertical="center" shrinkToFit="1"/>
    </xf>
    <xf numFmtId="49" fontId="11" fillId="0" borderId="34" xfId="0" applyNumberFormat="1" applyFont="1" applyBorder="1" applyAlignment="1">
      <alignment horizontal="center" vertical="center" shrinkToFit="1"/>
    </xf>
    <xf numFmtId="49" fontId="12" fillId="0" borderId="34" xfId="0" applyNumberFormat="1" applyFont="1" applyBorder="1" applyAlignment="1">
      <alignment horizontal="center" vertical="center" shrinkToFit="1"/>
    </xf>
    <xf numFmtId="49" fontId="9" fillId="0" borderId="19" xfId="0" applyNumberFormat="1" applyFont="1" applyBorder="1" applyAlignment="1">
      <alignment horizontal="center" shrinkToFit="1"/>
    </xf>
    <xf numFmtId="49" fontId="9" fillId="0" borderId="35" xfId="0" applyNumberFormat="1" applyFont="1" applyBorder="1" applyAlignment="1">
      <alignment horizontal="center" shrinkToFit="1"/>
    </xf>
    <xf numFmtId="49" fontId="13" fillId="0" borderId="19" xfId="0" applyNumberFormat="1" applyFont="1" applyBorder="1" applyAlignment="1">
      <alignment horizontal="center" shrinkToFit="1"/>
    </xf>
    <xf numFmtId="1" fontId="0" fillId="0" borderId="0" xfId="0" applyNumberFormat="1" applyAlignment="1"/>
    <xf numFmtId="1" fontId="14" fillId="0" borderId="0" xfId="0" applyNumberFormat="1" applyFont="1" applyAlignment="1"/>
    <xf numFmtId="0" fontId="0" fillId="0" borderId="0" xfId="0" applyFont="1" applyAlignment="1">
      <alignment horizontal="left" vertical="center"/>
    </xf>
    <xf numFmtId="0" fontId="0" fillId="13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49" fontId="14" fillId="13" borderId="19" xfId="51" applyNumberFormat="1" applyFont="1" applyFill="1" applyBorder="1" applyAlignment="1">
      <alignment horizontal="left"/>
    </xf>
    <xf numFmtId="49" fontId="0" fillId="0" borderId="19" xfId="51" applyNumberFormat="1" applyFont="1" applyBorder="1" applyAlignment="1">
      <alignment horizontal="left" vertical="center"/>
    </xf>
    <xf numFmtId="49" fontId="14" fillId="13" borderId="19" xfId="0" applyNumberFormat="1" applyFont="1" applyFill="1" applyBorder="1" applyAlignment="1">
      <alignment horizontal="left"/>
    </xf>
    <xf numFmtId="49" fontId="0" fillId="0" borderId="19" xfId="0" applyNumberFormat="1" applyBorder="1" applyAlignment="1">
      <alignment horizontal="left" vertical="center"/>
    </xf>
    <xf numFmtId="49" fontId="0" fillId="0" borderId="19" xfId="0" applyNumberFormat="1" applyFont="1" applyBorder="1" applyAlignment="1">
      <alignment horizontal="left" vertical="center"/>
    </xf>
    <xf numFmtId="49" fontId="14" fillId="13" borderId="19" xfId="57" applyNumberFormat="1" applyFont="1" applyFill="1" applyBorder="1" applyAlignment="1">
      <alignment horizontal="left"/>
    </xf>
    <xf numFmtId="49" fontId="0" fillId="0" borderId="19" xfId="57" applyNumberFormat="1" applyBorder="1" applyAlignment="1">
      <alignment horizontal="left" vertical="center"/>
    </xf>
    <xf numFmtId="49" fontId="15" fillId="13" borderId="19" xfId="0" applyNumberFormat="1" applyFont="1" applyFill="1" applyBorder="1" applyAlignment="1">
      <alignment horizontal="left"/>
    </xf>
    <xf numFmtId="1" fontId="0" fillId="13" borderId="19" xfId="57" applyNumberFormat="1" applyFill="1" applyBorder="1" applyAlignment="1">
      <alignment horizontal="left" vertical="center"/>
    </xf>
    <xf numFmtId="1" fontId="16" fillId="13" borderId="19" xfId="57" applyNumberFormat="1" applyFont="1" applyFill="1" applyBorder="1" applyAlignment="1">
      <alignment horizontal="left" vertical="center"/>
    </xf>
    <xf numFmtId="1" fontId="16" fillId="13" borderId="0" xfId="57" applyNumberFormat="1" applyFont="1" applyFill="1" applyAlignment="1">
      <alignment horizontal="left" vertical="center"/>
    </xf>
    <xf numFmtId="0" fontId="17" fillId="13" borderId="19" xfId="0" applyFont="1" applyFill="1" applyBorder="1" applyAlignment="1">
      <alignment horizontal="left" vertical="center"/>
    </xf>
    <xf numFmtId="49" fontId="0" fillId="13" borderId="0" xfId="0" applyNumberFormat="1" applyFill="1">
      <alignment vertical="center"/>
    </xf>
    <xf numFmtId="49" fontId="0" fillId="0" borderId="0" xfId="0" applyNumberFormat="1">
      <alignment vertical="center"/>
    </xf>
    <xf numFmtId="0" fontId="0" fillId="13" borderId="19" xfId="0" applyFill="1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13" borderId="19" xfId="0" applyFont="1" applyFill="1" applyBorder="1" applyAlignment="1">
      <alignment horizontal="left" vertical="center"/>
    </xf>
    <xf numFmtId="0" fontId="18" fillId="0" borderId="36" xfId="0" applyFont="1" applyBorder="1">
      <alignment vertical="center"/>
    </xf>
    <xf numFmtId="49" fontId="18" fillId="0" borderId="36" xfId="0" applyNumberFormat="1" applyFont="1" applyBorder="1">
      <alignment vertical="center"/>
    </xf>
    <xf numFmtId="49" fontId="18" fillId="0" borderId="19" xfId="0" applyNumberFormat="1" applyFont="1" applyBorder="1">
      <alignment vertical="center"/>
    </xf>
    <xf numFmtId="0" fontId="14" fillId="0" borderId="19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49" fontId="0" fillId="0" borderId="19" xfId="0" applyNumberFormat="1" applyFont="1" applyBorder="1" applyAlignment="1" quotePrefix="1">
      <alignment horizontal="left" vertical="center"/>
    </xf>
    <xf numFmtId="0" fontId="0" fillId="0" borderId="19" xfId="0" applyBorder="1" applyAlignment="1" quotePrefix="1">
      <alignment horizontal="center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  <cellStyle name="常规 5" xfId="50"/>
    <cellStyle name="常规 4" xfId="51"/>
    <cellStyle name="常规 29" xfId="52"/>
    <cellStyle name="常规 28" xfId="53"/>
    <cellStyle name="常规 27" xfId="54"/>
    <cellStyle name="常规 26" xfId="55"/>
    <cellStyle name="常规 25" xfId="56"/>
    <cellStyle name="常规 2" xfId="57"/>
    <cellStyle name="常规 24" xfId="58"/>
    <cellStyle name="常规 19" xfId="59"/>
    <cellStyle name="常规 22" xfId="60"/>
    <cellStyle name="常规 17" xfId="61"/>
    <cellStyle name="常规 21" xfId="62"/>
    <cellStyle name="常规 16" xfId="63"/>
    <cellStyle name="常规 20" xfId="64"/>
    <cellStyle name="常规 15" xfId="65"/>
    <cellStyle name="常规 14" xfId="66"/>
    <cellStyle name="常规 13" xfId="67"/>
    <cellStyle name="常规 12" xfId="68"/>
    <cellStyle name="常规 11" xfId="69"/>
    <cellStyle name="常规 9" xfId="70"/>
    <cellStyle name="超链接 2" xfId="71"/>
    <cellStyle name="常规 23" xfId="72"/>
    <cellStyle name="常规 18" xfId="73"/>
    <cellStyle name="常规_水轮机工艺室" xfId="74"/>
    <cellStyle name="常规 10" xfId="75"/>
    <cellStyle name="常规 2 2" xfId="76"/>
    <cellStyle name="常规 8" xfId="77"/>
    <cellStyle name="常规 7" xfId="78"/>
    <cellStyle name="常规 3" xfId="79"/>
  </cellStyles>
  <dxfs count="1">
    <dxf>
      <fill>
        <patternFill patternType="solid">
          <bgColor rgb="FFFF99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217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A1" sqref="$A1:$XFD1"/>
    </sheetView>
  </sheetViews>
  <sheetFormatPr defaultColWidth="9" defaultRowHeight="14" outlineLevelCol="1"/>
  <cols>
    <col min="1" max="1" width="27" style="69" customWidth="1"/>
    <col min="2" max="2" width="19.3363636363636" style="70" customWidth="1"/>
  </cols>
  <sheetData>
    <row r="1" ht="100.05" customHeight="1" spans="1:2">
      <c r="A1" s="71" t="s">
        <v>0</v>
      </c>
      <c r="B1" s="72" t="s">
        <v>1</v>
      </c>
    </row>
    <row r="2" ht="100.05" customHeight="1" spans="1:2">
      <c r="A2" s="71" t="s">
        <v>2</v>
      </c>
      <c r="B2" s="72" t="s">
        <v>3</v>
      </c>
    </row>
    <row r="3" ht="100.05" customHeight="1" spans="1:2">
      <c r="A3" s="71" t="s">
        <v>4</v>
      </c>
      <c r="B3" s="72" t="s">
        <v>5</v>
      </c>
    </row>
    <row r="4" ht="100.05" customHeight="1" spans="1:2">
      <c r="A4" s="71" t="s">
        <v>6</v>
      </c>
      <c r="B4" s="72" t="s">
        <v>7</v>
      </c>
    </row>
    <row r="5" ht="100.05" customHeight="1" spans="1:2">
      <c r="A5" s="71" t="s">
        <v>8</v>
      </c>
      <c r="B5" s="72" t="s">
        <v>9</v>
      </c>
    </row>
    <row r="6" ht="100.05" customHeight="1" spans="1:2">
      <c r="A6" s="71" t="s">
        <v>10</v>
      </c>
      <c r="B6" s="72" t="s">
        <v>11</v>
      </c>
    </row>
    <row r="7" ht="100.05" customHeight="1" spans="1:2">
      <c r="A7" s="71" t="s">
        <v>12</v>
      </c>
      <c r="B7" s="72" t="s">
        <v>13</v>
      </c>
    </row>
    <row r="8" ht="100.05" customHeight="1" spans="1:2">
      <c r="A8" s="71" t="s">
        <v>14</v>
      </c>
      <c r="B8" s="72" t="s">
        <v>15</v>
      </c>
    </row>
    <row r="9" ht="100.05" customHeight="1" spans="1:2">
      <c r="A9" s="73" t="s">
        <v>16</v>
      </c>
      <c r="B9" s="74" t="s">
        <v>17</v>
      </c>
    </row>
    <row r="10" ht="100.05" customHeight="1" spans="1:2">
      <c r="A10" s="73" t="s">
        <v>18</v>
      </c>
      <c r="B10" s="74" t="s">
        <v>19</v>
      </c>
    </row>
    <row r="11" ht="100.05" customHeight="1" spans="1:2">
      <c r="A11" s="73" t="s">
        <v>20</v>
      </c>
      <c r="B11" s="74" t="s">
        <v>21</v>
      </c>
    </row>
    <row r="12" ht="100.05" customHeight="1" spans="1:2">
      <c r="A12" s="73" t="s">
        <v>22</v>
      </c>
      <c r="B12" s="74" t="s">
        <v>23</v>
      </c>
    </row>
    <row r="13" ht="100.05" customHeight="1" spans="1:2">
      <c r="A13" s="71" t="s">
        <v>24</v>
      </c>
      <c r="B13" s="72" t="s">
        <v>25</v>
      </c>
    </row>
    <row r="14" ht="100.05" customHeight="1" spans="1:2">
      <c r="A14" s="73" t="s">
        <v>26</v>
      </c>
      <c r="B14" s="75" t="s">
        <v>27</v>
      </c>
    </row>
    <row r="15" ht="100.05" customHeight="1" spans="1:2">
      <c r="A15" s="73" t="s">
        <v>28</v>
      </c>
      <c r="B15" s="74" t="s">
        <v>29</v>
      </c>
    </row>
    <row r="16" ht="100.05" customHeight="1" spans="1:2">
      <c r="A16" s="73" t="s">
        <v>30</v>
      </c>
      <c r="B16" s="74" t="s">
        <v>31</v>
      </c>
    </row>
    <row r="17" ht="100.05" customHeight="1" spans="1:2">
      <c r="A17" s="76" t="s">
        <v>32</v>
      </c>
      <c r="B17" s="77" t="s">
        <v>33</v>
      </c>
    </row>
    <row r="18" ht="100.05" customHeight="1" spans="1:2">
      <c r="A18" s="73" t="s">
        <v>34</v>
      </c>
      <c r="B18" s="74" t="s">
        <v>35</v>
      </c>
    </row>
    <row r="19" ht="100.05" customHeight="1" spans="1:2">
      <c r="A19" s="73" t="s">
        <v>36</v>
      </c>
      <c r="B19" s="74" t="s">
        <v>37</v>
      </c>
    </row>
    <row r="20" ht="100.05" customHeight="1" spans="1:2">
      <c r="A20" s="73" t="s">
        <v>38</v>
      </c>
      <c r="B20" s="74" t="s">
        <v>39</v>
      </c>
    </row>
    <row r="21" ht="100.05" customHeight="1" spans="1:2">
      <c r="A21" s="73" t="s">
        <v>40</v>
      </c>
      <c r="B21" s="74" t="s">
        <v>41</v>
      </c>
    </row>
    <row r="22" ht="100.05" customHeight="1" spans="1:2">
      <c r="A22" s="73" t="s">
        <v>42</v>
      </c>
      <c r="B22" s="74" t="s">
        <v>43</v>
      </c>
    </row>
    <row r="23" ht="100.05" customHeight="1" spans="1:2">
      <c r="A23" s="76" t="s">
        <v>44</v>
      </c>
      <c r="B23" s="77" t="s">
        <v>45</v>
      </c>
    </row>
    <row r="24" ht="100.05" customHeight="1" spans="1:2">
      <c r="A24" s="73" t="s">
        <v>46</v>
      </c>
      <c r="B24" s="75" t="s">
        <v>47</v>
      </c>
    </row>
    <row r="25" ht="100.05" customHeight="1" spans="1:2">
      <c r="A25" s="73" t="s">
        <v>48</v>
      </c>
      <c r="B25" s="93" t="s">
        <v>49</v>
      </c>
    </row>
    <row r="26" ht="100.05" customHeight="1" spans="1:2">
      <c r="A26" s="73" t="s">
        <v>50</v>
      </c>
      <c r="B26" s="74" t="s">
        <v>51</v>
      </c>
    </row>
    <row r="27" ht="100.05" customHeight="1" spans="1:2">
      <c r="A27" s="73" t="s">
        <v>52</v>
      </c>
      <c r="B27" s="74" t="s">
        <v>53</v>
      </c>
    </row>
    <row r="28" ht="100.05" customHeight="1" spans="1:2">
      <c r="A28" s="73" t="s">
        <v>54</v>
      </c>
      <c r="B28" s="74" t="s">
        <v>55</v>
      </c>
    </row>
    <row r="29" ht="100.05" customHeight="1" spans="1:2">
      <c r="A29" s="73" t="s">
        <v>56</v>
      </c>
      <c r="B29" s="74" t="s">
        <v>57</v>
      </c>
    </row>
    <row r="30" ht="100.05" customHeight="1" spans="1:2">
      <c r="A30" s="73" t="s">
        <v>58</v>
      </c>
      <c r="B30" s="74" t="s">
        <v>59</v>
      </c>
    </row>
    <row r="31" ht="100.05" customHeight="1" spans="1:2">
      <c r="A31" s="73" t="s">
        <v>60</v>
      </c>
      <c r="B31" s="74" t="s">
        <v>61</v>
      </c>
    </row>
    <row r="32" ht="100.05" customHeight="1" spans="1:2">
      <c r="A32" s="73" t="s">
        <v>62</v>
      </c>
      <c r="B32" s="74" t="s">
        <v>63</v>
      </c>
    </row>
    <row r="33" ht="100.05" customHeight="1" spans="1:2">
      <c r="A33" s="78" t="s">
        <v>64</v>
      </c>
      <c r="B33" s="75" t="s">
        <v>65</v>
      </c>
    </row>
    <row r="34" ht="100.05" customHeight="1" spans="1:2">
      <c r="A34" s="79" t="s">
        <v>66</v>
      </c>
      <c r="B34" s="75" t="s">
        <v>67</v>
      </c>
    </row>
    <row r="35" ht="100.05" customHeight="1" spans="1:2">
      <c r="A35" s="79" t="s">
        <v>68</v>
      </c>
      <c r="B35" s="75" t="s">
        <v>69</v>
      </c>
    </row>
    <row r="36" ht="100.05" customHeight="1" spans="1:2">
      <c r="A36" s="73" t="s">
        <v>70</v>
      </c>
      <c r="B36" s="74" t="s">
        <v>71</v>
      </c>
    </row>
    <row r="37" ht="100.05" customHeight="1" spans="1:2">
      <c r="A37" s="73" t="s">
        <v>72</v>
      </c>
      <c r="B37" s="74" t="s">
        <v>73</v>
      </c>
    </row>
    <row r="38" ht="100.05" customHeight="1" spans="1:2">
      <c r="A38" s="73" t="s">
        <v>74</v>
      </c>
      <c r="B38" s="74" t="s">
        <v>75</v>
      </c>
    </row>
    <row r="39" ht="100.05" customHeight="1" spans="1:2">
      <c r="A39" s="73" t="s">
        <v>76</v>
      </c>
      <c r="B39" s="74" t="s">
        <v>77</v>
      </c>
    </row>
    <row r="40" ht="100.05" customHeight="1" spans="1:2">
      <c r="A40" s="73" t="s">
        <v>78</v>
      </c>
      <c r="B40" s="74" t="s">
        <v>79</v>
      </c>
    </row>
    <row r="41" ht="100.05" customHeight="1" spans="1:2">
      <c r="A41" s="73" t="s">
        <v>80</v>
      </c>
      <c r="B41" s="74" t="s">
        <v>81</v>
      </c>
    </row>
    <row r="42" ht="100.05" customHeight="1" spans="1:2">
      <c r="A42" s="73" t="s">
        <v>82</v>
      </c>
      <c r="B42" s="74" t="s">
        <v>83</v>
      </c>
    </row>
    <row r="43" ht="100.05" customHeight="1" spans="1:2">
      <c r="A43" s="73" t="s">
        <v>84</v>
      </c>
      <c r="B43" s="74" t="s">
        <v>85</v>
      </c>
    </row>
    <row r="44" ht="100.05" customHeight="1" spans="1:2">
      <c r="A44" s="73" t="s">
        <v>86</v>
      </c>
      <c r="B44" s="74" t="s">
        <v>87</v>
      </c>
    </row>
    <row r="45" ht="100.05" customHeight="1" spans="1:2">
      <c r="A45" s="73" t="s">
        <v>88</v>
      </c>
      <c r="B45" s="74" t="s">
        <v>89</v>
      </c>
    </row>
    <row r="46" ht="100.05" customHeight="1" spans="1:2">
      <c r="A46" s="73" t="s">
        <v>90</v>
      </c>
      <c r="B46" s="74" t="s">
        <v>91</v>
      </c>
    </row>
    <row r="47" ht="100.05" customHeight="1" spans="1:2">
      <c r="A47" s="73" t="s">
        <v>92</v>
      </c>
      <c r="B47" s="74" t="s">
        <v>93</v>
      </c>
    </row>
    <row r="48" s="68" customFormat="1" ht="100.05" customHeight="1" spans="1:2">
      <c r="A48" s="73" t="s">
        <v>94</v>
      </c>
      <c r="B48" s="74" t="s">
        <v>95</v>
      </c>
    </row>
    <row r="49" ht="100.05" customHeight="1" spans="1:2">
      <c r="A49" s="73" t="s">
        <v>96</v>
      </c>
      <c r="B49" s="74" t="s">
        <v>97</v>
      </c>
    </row>
    <row r="50" ht="100.05" customHeight="1" spans="1:2">
      <c r="A50" s="73" t="s">
        <v>98</v>
      </c>
      <c r="B50" s="74" t="s">
        <v>99</v>
      </c>
    </row>
    <row r="51" ht="100.05" customHeight="1" spans="1:2">
      <c r="A51" s="73" t="s">
        <v>100</v>
      </c>
      <c r="B51" s="74" t="s">
        <v>101</v>
      </c>
    </row>
    <row r="52" ht="100.05" customHeight="1" spans="1:2">
      <c r="A52" s="73" t="s">
        <v>102</v>
      </c>
      <c r="B52" s="74" t="s">
        <v>103</v>
      </c>
    </row>
    <row r="53" ht="100.05" customHeight="1" spans="1:2">
      <c r="A53" s="73" t="s">
        <v>104</v>
      </c>
      <c r="B53" s="74" t="s">
        <v>105</v>
      </c>
    </row>
    <row r="54" ht="100.05" customHeight="1" spans="1:2">
      <c r="A54" s="73" t="s">
        <v>106</v>
      </c>
      <c r="B54" s="74" t="s">
        <v>107</v>
      </c>
    </row>
    <row r="55" ht="100.05" customHeight="1" spans="1:2">
      <c r="A55" s="79" t="s">
        <v>108</v>
      </c>
      <c r="B55" s="75" t="s">
        <v>109</v>
      </c>
    </row>
    <row r="56" ht="100.05" customHeight="1" spans="1:2">
      <c r="A56" s="79" t="s">
        <v>110</v>
      </c>
      <c r="B56" s="75" t="s">
        <v>111</v>
      </c>
    </row>
    <row r="57" ht="100.05" customHeight="1" spans="1:2">
      <c r="A57" s="79" t="s">
        <v>112</v>
      </c>
      <c r="B57" s="75" t="s">
        <v>113</v>
      </c>
    </row>
    <row r="58" ht="100.05" customHeight="1" spans="1:2">
      <c r="A58" s="79" t="s">
        <v>114</v>
      </c>
      <c r="B58" s="75" t="s">
        <v>115</v>
      </c>
    </row>
    <row r="59" ht="100.05" customHeight="1" spans="1:2">
      <c r="A59" s="79" t="s">
        <v>116</v>
      </c>
      <c r="B59" s="75" t="s">
        <v>117</v>
      </c>
    </row>
    <row r="60" ht="100.05" customHeight="1" spans="1:2">
      <c r="A60" s="73" t="s">
        <v>118</v>
      </c>
      <c r="B60" s="74" t="s">
        <v>119</v>
      </c>
    </row>
    <row r="61" ht="13.5" customHeight="1" spans="1:2">
      <c r="A61" s="80" t="s">
        <v>120</v>
      </c>
      <c r="B61" s="75" t="s">
        <v>121</v>
      </c>
    </row>
    <row r="62" ht="13.5" customHeight="1" spans="1:2">
      <c r="A62" s="81" t="s">
        <v>122</v>
      </c>
      <c r="B62" s="75" t="s">
        <v>123</v>
      </c>
    </row>
    <row r="63" ht="100.05" customHeight="1" spans="1:2">
      <c r="A63" s="73" t="s">
        <v>124</v>
      </c>
      <c r="B63" s="74" t="s">
        <v>125</v>
      </c>
    </row>
    <row r="64" ht="100.05" customHeight="1" spans="1:2">
      <c r="A64" s="73" t="s">
        <v>126</v>
      </c>
      <c r="B64" s="74" t="s">
        <v>127</v>
      </c>
    </row>
    <row r="65" ht="100.05" customHeight="1" spans="1:2">
      <c r="A65" s="73" t="s">
        <v>128</v>
      </c>
      <c r="B65" s="74" t="s">
        <v>129</v>
      </c>
    </row>
    <row r="66" ht="100.05" customHeight="1" spans="1:2">
      <c r="A66" s="73" t="s">
        <v>130</v>
      </c>
      <c r="B66" s="74" t="s">
        <v>131</v>
      </c>
    </row>
    <row r="67" ht="100.05" customHeight="1" spans="1:2">
      <c r="A67" s="73" t="s">
        <v>132</v>
      </c>
      <c r="B67" s="74" t="s">
        <v>133</v>
      </c>
    </row>
    <row r="68" ht="100.05" customHeight="1" spans="1:2">
      <c r="A68" s="73" t="s">
        <v>134</v>
      </c>
      <c r="B68" s="74" t="s">
        <v>135</v>
      </c>
    </row>
    <row r="69" ht="100.05" customHeight="1" spans="1:2">
      <c r="A69" s="73" t="s">
        <v>136</v>
      </c>
      <c r="B69" s="74" t="s">
        <v>137</v>
      </c>
    </row>
    <row r="70" ht="100.05" customHeight="1" spans="1:2">
      <c r="A70" s="73" t="s">
        <v>138</v>
      </c>
      <c r="B70" s="74" t="s">
        <v>139</v>
      </c>
    </row>
    <row r="71" ht="100.05" customHeight="1" spans="1:2">
      <c r="A71" s="73" t="s">
        <v>140</v>
      </c>
      <c r="B71" s="74" t="s">
        <v>141</v>
      </c>
    </row>
    <row r="72" ht="100.05" customHeight="1" spans="1:2">
      <c r="A72" s="73" t="s">
        <v>142</v>
      </c>
      <c r="B72" s="74" t="s">
        <v>143</v>
      </c>
    </row>
    <row r="73" ht="100.05" customHeight="1" spans="1:2">
      <c r="A73" s="73" t="s">
        <v>144</v>
      </c>
      <c r="B73" s="74" t="s">
        <v>145</v>
      </c>
    </row>
    <row r="74" ht="100.05" customHeight="1" spans="1:2">
      <c r="A74" s="73" t="s">
        <v>146</v>
      </c>
      <c r="B74" s="74" t="s">
        <v>147</v>
      </c>
    </row>
    <row r="75" ht="100.05" customHeight="1" spans="1:2">
      <c r="A75" s="73" t="s">
        <v>148</v>
      </c>
      <c r="B75" s="74" t="s">
        <v>149</v>
      </c>
    </row>
    <row r="76" ht="100.05" customHeight="1" spans="1:2">
      <c r="A76" s="73" t="s">
        <v>150</v>
      </c>
      <c r="B76" s="74" t="s">
        <v>151</v>
      </c>
    </row>
    <row r="77" ht="100.05" customHeight="1" spans="1:2">
      <c r="A77" s="73" t="s">
        <v>152</v>
      </c>
      <c r="B77" s="74" t="s">
        <v>153</v>
      </c>
    </row>
    <row r="78" ht="100.05" customHeight="1" spans="1:2">
      <c r="A78" s="73" t="s">
        <v>154</v>
      </c>
      <c r="B78" s="74" t="s">
        <v>155</v>
      </c>
    </row>
    <row r="79" ht="100.05" customHeight="1" spans="1:2">
      <c r="A79" s="73" t="s">
        <v>156</v>
      </c>
      <c r="B79" s="74" t="s">
        <v>157</v>
      </c>
    </row>
    <row r="80" ht="100.05" customHeight="1" spans="1:2">
      <c r="A80" s="73" t="s">
        <v>158</v>
      </c>
      <c r="B80" s="74" t="s">
        <v>159</v>
      </c>
    </row>
    <row r="81" ht="100.05" customHeight="1" spans="1:2">
      <c r="A81" s="73" t="s">
        <v>160</v>
      </c>
      <c r="B81" s="74" t="s">
        <v>161</v>
      </c>
    </row>
    <row r="82" ht="100.05" customHeight="1" spans="1:2">
      <c r="A82" s="73" t="s">
        <v>162</v>
      </c>
      <c r="B82" s="74" t="s">
        <v>163</v>
      </c>
    </row>
    <row r="83" ht="100.05" customHeight="1" spans="1:2">
      <c r="A83" s="73" t="s">
        <v>164</v>
      </c>
      <c r="B83" s="74" t="s">
        <v>165</v>
      </c>
    </row>
    <row r="84" ht="100.05" customHeight="1" spans="1:2">
      <c r="A84" s="73" t="s">
        <v>166</v>
      </c>
      <c r="B84" s="74" t="s">
        <v>167</v>
      </c>
    </row>
    <row r="85" ht="100.05" customHeight="1" spans="1:2">
      <c r="A85" s="73" t="s">
        <v>168</v>
      </c>
      <c r="B85" s="74" t="s">
        <v>169</v>
      </c>
    </row>
    <row r="86" ht="100.05" customHeight="1" spans="1:2">
      <c r="A86" s="73" t="s">
        <v>170</v>
      </c>
      <c r="B86" s="75" t="s">
        <v>171</v>
      </c>
    </row>
    <row r="87" ht="100.05" customHeight="1" spans="1:2">
      <c r="A87" s="73" t="s">
        <v>172</v>
      </c>
      <c r="B87" s="75" t="s">
        <v>173</v>
      </c>
    </row>
    <row r="88" ht="100.05" customHeight="1" spans="1:2">
      <c r="A88" s="78" t="s">
        <v>174</v>
      </c>
      <c r="B88" s="75" t="s">
        <v>175</v>
      </c>
    </row>
    <row r="89" ht="100.05" customHeight="1" spans="1:2">
      <c r="A89" s="79" t="s">
        <v>176</v>
      </c>
      <c r="B89" s="75" t="s">
        <v>177</v>
      </c>
    </row>
    <row r="90" ht="100.05" customHeight="1" spans="1:2">
      <c r="A90" s="79" t="s">
        <v>178</v>
      </c>
      <c r="B90" s="75" t="s">
        <v>179</v>
      </c>
    </row>
    <row r="91" ht="100.05" customHeight="1" spans="1:2">
      <c r="A91" s="73" t="s">
        <v>180</v>
      </c>
      <c r="B91" s="74" t="s">
        <v>181</v>
      </c>
    </row>
    <row r="92" ht="100.05" customHeight="1" spans="1:2">
      <c r="A92" s="73" t="s">
        <v>182</v>
      </c>
      <c r="B92" s="74" t="s">
        <v>183</v>
      </c>
    </row>
    <row r="93" ht="100.05" customHeight="1" spans="1:2">
      <c r="A93" s="73" t="s">
        <v>184</v>
      </c>
      <c r="B93" s="74" t="s">
        <v>185</v>
      </c>
    </row>
    <row r="94" ht="100.05" customHeight="1" spans="1:2">
      <c r="A94" s="73" t="s">
        <v>186</v>
      </c>
      <c r="B94" s="74" t="s">
        <v>187</v>
      </c>
    </row>
    <row r="95" ht="100.05" customHeight="1" spans="1:2">
      <c r="A95" s="73" t="s">
        <v>188</v>
      </c>
      <c r="B95" s="74" t="s">
        <v>189</v>
      </c>
    </row>
    <row r="96" ht="100.05" customHeight="1" spans="1:2">
      <c r="A96" s="73" t="s">
        <v>190</v>
      </c>
      <c r="B96" s="74" t="s">
        <v>191</v>
      </c>
    </row>
    <row r="97" ht="100.05" customHeight="1" spans="1:2">
      <c r="A97" s="73" t="s">
        <v>192</v>
      </c>
      <c r="B97" s="74" t="s">
        <v>193</v>
      </c>
    </row>
    <row r="98" ht="100.05" customHeight="1" spans="1:2">
      <c r="A98" s="73" t="s">
        <v>194</v>
      </c>
      <c r="B98" s="74" t="s">
        <v>195</v>
      </c>
    </row>
    <row r="99" ht="100.05" customHeight="1" spans="1:2">
      <c r="A99" s="73" t="s">
        <v>196</v>
      </c>
      <c r="B99" s="74" t="s">
        <v>197</v>
      </c>
    </row>
    <row r="100" ht="100.05" customHeight="1" spans="1:2">
      <c r="A100" s="73" t="s">
        <v>198</v>
      </c>
      <c r="B100" s="74" t="s">
        <v>199</v>
      </c>
    </row>
    <row r="101" ht="100.05" customHeight="1" spans="1:2">
      <c r="A101" s="73" t="s">
        <v>200</v>
      </c>
      <c r="B101" s="74" t="s">
        <v>201</v>
      </c>
    </row>
    <row r="102" ht="100.05" customHeight="1" spans="1:2">
      <c r="A102" s="73" t="s">
        <v>202</v>
      </c>
      <c r="B102" s="74" t="s">
        <v>203</v>
      </c>
    </row>
    <row r="103" ht="100.05" customHeight="1" spans="1:2">
      <c r="A103" s="73" t="s">
        <v>204</v>
      </c>
      <c r="B103" s="74" t="s">
        <v>205</v>
      </c>
    </row>
    <row r="104" ht="100.05" customHeight="1" spans="1:2">
      <c r="A104" s="73" t="s">
        <v>206</v>
      </c>
      <c r="B104" s="74" t="s">
        <v>207</v>
      </c>
    </row>
    <row r="105" ht="100.05" customHeight="1" spans="1:2">
      <c r="A105" s="73" t="s">
        <v>208</v>
      </c>
      <c r="B105" s="74" t="s">
        <v>209</v>
      </c>
    </row>
    <row r="106" ht="100.05" customHeight="1" spans="1:2">
      <c r="A106" s="73" t="s">
        <v>210</v>
      </c>
      <c r="B106" s="74" t="s">
        <v>211</v>
      </c>
    </row>
    <row r="107" ht="100.05" customHeight="1" spans="1:2">
      <c r="A107" s="73" t="s">
        <v>212</v>
      </c>
      <c r="B107" s="74" t="s">
        <v>213</v>
      </c>
    </row>
    <row r="108" ht="100.05" customHeight="1" spans="1:2">
      <c r="A108" s="73" t="s">
        <v>214</v>
      </c>
      <c r="B108" s="74" t="s">
        <v>215</v>
      </c>
    </row>
    <row r="109" ht="100.05" customHeight="1" spans="1:2">
      <c r="A109" s="73" t="s">
        <v>216</v>
      </c>
      <c r="B109" s="74" t="s">
        <v>217</v>
      </c>
    </row>
    <row r="110" ht="100.05" customHeight="1" spans="1:2">
      <c r="A110" s="73" t="s">
        <v>218</v>
      </c>
      <c r="B110" s="74" t="s">
        <v>219</v>
      </c>
    </row>
    <row r="111" ht="100.05" customHeight="1" spans="1:2">
      <c r="A111" s="73" t="s">
        <v>220</v>
      </c>
      <c r="B111" s="75" t="s">
        <v>221</v>
      </c>
    </row>
    <row r="112" ht="100.05" customHeight="1" spans="1:2">
      <c r="A112" s="73" t="s">
        <v>222</v>
      </c>
      <c r="B112" s="75" t="s">
        <v>223</v>
      </c>
    </row>
    <row r="113" ht="100.05" customHeight="1" spans="1:2">
      <c r="A113" s="82" t="s">
        <v>224</v>
      </c>
      <c r="B113" s="75" t="s">
        <v>225</v>
      </c>
    </row>
    <row r="114" ht="100.05" customHeight="1" spans="1:2">
      <c r="A114" s="79" t="s">
        <v>226</v>
      </c>
      <c r="B114" s="75" t="s">
        <v>227</v>
      </c>
    </row>
    <row r="115" ht="100.05" customHeight="1" spans="1:2">
      <c r="A115" s="79" t="s">
        <v>228</v>
      </c>
      <c r="B115" s="75" t="s">
        <v>229</v>
      </c>
    </row>
    <row r="116" ht="100.05" customHeight="1" spans="1:2">
      <c r="A116" s="79" t="s">
        <v>230</v>
      </c>
      <c r="B116" s="75" t="s">
        <v>231</v>
      </c>
    </row>
    <row r="117" ht="100.05" customHeight="1" spans="1:2">
      <c r="A117" s="79" t="s">
        <v>232</v>
      </c>
      <c r="B117" s="75" t="s">
        <v>233</v>
      </c>
    </row>
    <row r="118" ht="100.05" customHeight="1" spans="1:2">
      <c r="A118" s="79" t="s">
        <v>234</v>
      </c>
      <c r="B118" s="75" t="s">
        <v>235</v>
      </c>
    </row>
    <row r="119" ht="100.05" customHeight="1" spans="1:2">
      <c r="A119" s="83" t="s">
        <v>236</v>
      </c>
      <c r="B119" s="84" t="s">
        <v>237</v>
      </c>
    </row>
    <row r="120" s="7" customFormat="1" ht="100.05" customHeight="1" spans="1:2">
      <c r="A120" s="73" t="s">
        <v>238</v>
      </c>
      <c r="B120" s="74" t="s">
        <v>239</v>
      </c>
    </row>
    <row r="121" s="7" customFormat="1" ht="100.05" customHeight="1" spans="1:2">
      <c r="A121" s="73" t="s">
        <v>240</v>
      </c>
      <c r="B121" s="74" t="s">
        <v>241</v>
      </c>
    </row>
    <row r="122" s="7" customFormat="1" ht="100.05" customHeight="1" spans="1:2">
      <c r="A122" s="73" t="s">
        <v>242</v>
      </c>
      <c r="B122" s="74" t="s">
        <v>243</v>
      </c>
    </row>
    <row r="123" s="7" customFormat="1" ht="100.05" customHeight="1" spans="1:2">
      <c r="A123" s="73" t="s">
        <v>244</v>
      </c>
      <c r="B123" s="74" t="s">
        <v>245</v>
      </c>
    </row>
    <row r="124" ht="100.05" customHeight="1" spans="1:2">
      <c r="A124" s="73" t="s">
        <v>246</v>
      </c>
      <c r="B124" s="74" t="s">
        <v>247</v>
      </c>
    </row>
    <row r="125" s="7" customFormat="1" ht="100.05" customHeight="1" spans="1:2">
      <c r="A125" s="73" t="s">
        <v>248</v>
      </c>
      <c r="B125" s="75" t="s">
        <v>249</v>
      </c>
    </row>
    <row r="126" s="7" customFormat="1" ht="100.05" customHeight="1" spans="1:2">
      <c r="A126" s="73" t="s">
        <v>250</v>
      </c>
      <c r="B126" s="75" t="s">
        <v>251</v>
      </c>
    </row>
    <row r="127" s="7" customFormat="1" ht="100.05" customHeight="1" spans="1:2">
      <c r="A127" s="73" t="s">
        <v>252</v>
      </c>
      <c r="B127" s="75" t="s">
        <v>253</v>
      </c>
    </row>
    <row r="128" s="7" customFormat="1" ht="100.05" customHeight="1" spans="1:2">
      <c r="A128" s="73" t="s">
        <v>254</v>
      </c>
      <c r="B128" s="75" t="s">
        <v>255</v>
      </c>
    </row>
    <row r="129" s="7" customFormat="1" ht="100.05" customHeight="1" spans="1:2">
      <c r="A129" s="73" t="s">
        <v>256</v>
      </c>
      <c r="B129" s="75" t="s">
        <v>257</v>
      </c>
    </row>
    <row r="130" s="7" customFormat="1" ht="100.05" customHeight="1" spans="1:2">
      <c r="A130" s="73" t="s">
        <v>258</v>
      </c>
      <c r="B130" s="74" t="s">
        <v>259</v>
      </c>
    </row>
    <row r="131" s="7" customFormat="1" ht="100.05" customHeight="1" spans="1:2">
      <c r="A131" s="73" t="s">
        <v>260</v>
      </c>
      <c r="B131" s="74" t="s">
        <v>261</v>
      </c>
    </row>
    <row r="132" s="7" customFormat="1" ht="100.05" customHeight="1" spans="1:2">
      <c r="A132" s="79" t="s">
        <v>262</v>
      </c>
      <c r="B132" s="75" t="s">
        <v>263</v>
      </c>
    </row>
    <row r="133" ht="100.05" customHeight="1" spans="1:2">
      <c r="A133" s="73" t="s">
        <v>264</v>
      </c>
      <c r="B133" s="74" t="s">
        <v>265</v>
      </c>
    </row>
    <row r="134" ht="100.05" customHeight="1" spans="1:2">
      <c r="A134" s="73" t="s">
        <v>266</v>
      </c>
      <c r="B134" s="74" t="s">
        <v>267</v>
      </c>
    </row>
    <row r="135" ht="100.05" customHeight="1" spans="1:2">
      <c r="A135" s="73" t="s">
        <v>268</v>
      </c>
      <c r="B135" s="74" t="s">
        <v>269</v>
      </c>
    </row>
    <row r="136" ht="100.05" customHeight="1" spans="1:2">
      <c r="A136" s="73" t="s">
        <v>270</v>
      </c>
      <c r="B136" s="74" t="s">
        <v>271</v>
      </c>
    </row>
    <row r="137" ht="100.05" customHeight="1" spans="1:2">
      <c r="A137" s="79" t="s">
        <v>272</v>
      </c>
      <c r="B137" s="75" t="s">
        <v>273</v>
      </c>
    </row>
    <row r="138" ht="100.05" customHeight="1" spans="1:2">
      <c r="A138" s="73" t="s">
        <v>274</v>
      </c>
      <c r="B138" s="74" t="s">
        <v>275</v>
      </c>
    </row>
    <row r="139" ht="100.05" customHeight="1" spans="1:2">
      <c r="A139" s="73" t="s">
        <v>276</v>
      </c>
      <c r="B139" s="74" t="s">
        <v>277</v>
      </c>
    </row>
    <row r="140" ht="100.05" customHeight="1" spans="1:2">
      <c r="A140" s="79" t="s">
        <v>278</v>
      </c>
      <c r="B140" s="75" t="s">
        <v>279</v>
      </c>
    </row>
    <row r="141" ht="100.05" customHeight="1" spans="1:2">
      <c r="A141" s="73" t="s">
        <v>280</v>
      </c>
      <c r="B141" s="74" t="s">
        <v>281</v>
      </c>
    </row>
    <row r="142" ht="100.05" customHeight="1" spans="1:2">
      <c r="A142" s="73" t="s">
        <v>282</v>
      </c>
      <c r="B142" s="74" t="s">
        <v>283</v>
      </c>
    </row>
    <row r="143" ht="100.05" customHeight="1" spans="1:2">
      <c r="A143" s="73" t="s">
        <v>284</v>
      </c>
      <c r="B143" s="74" t="s">
        <v>285</v>
      </c>
    </row>
    <row r="144" ht="100.05" customHeight="1" spans="1:2">
      <c r="A144" s="73" t="s">
        <v>286</v>
      </c>
      <c r="B144" s="74" t="s">
        <v>287</v>
      </c>
    </row>
    <row r="145" ht="100.05" customHeight="1" spans="1:2">
      <c r="A145" s="73" t="s">
        <v>288</v>
      </c>
      <c r="B145" s="74" t="s">
        <v>289</v>
      </c>
    </row>
    <row r="146" ht="100.05" customHeight="1" spans="1:2">
      <c r="A146" s="73" t="s">
        <v>290</v>
      </c>
      <c r="B146" s="74" t="s">
        <v>291</v>
      </c>
    </row>
    <row r="147" ht="100.05" customHeight="1" spans="1:2">
      <c r="A147" s="73" t="s">
        <v>292</v>
      </c>
      <c r="B147" s="74" t="s">
        <v>293</v>
      </c>
    </row>
    <row r="148" ht="100.05" customHeight="1" spans="1:2">
      <c r="A148" s="73" t="s">
        <v>294</v>
      </c>
      <c r="B148" s="75" t="s">
        <v>295</v>
      </c>
    </row>
    <row r="149" ht="100.05" customHeight="1" spans="1:2">
      <c r="A149" s="73" t="s">
        <v>296</v>
      </c>
      <c r="B149" s="74" t="s">
        <v>297</v>
      </c>
    </row>
    <row r="150" ht="100.05" customHeight="1" spans="1:2">
      <c r="A150" s="79" t="s">
        <v>298</v>
      </c>
      <c r="B150" s="75" t="s">
        <v>299</v>
      </c>
    </row>
    <row r="151" s="7" customFormat="1" ht="100.05" customHeight="1" spans="1:2">
      <c r="A151" s="73" t="s">
        <v>300</v>
      </c>
      <c r="B151" s="74" t="s">
        <v>301</v>
      </c>
    </row>
    <row r="152" s="7" customFormat="1" ht="100.05" customHeight="1" spans="1:2">
      <c r="A152" s="73" t="s">
        <v>302</v>
      </c>
      <c r="B152" s="74" t="s">
        <v>303</v>
      </c>
    </row>
    <row r="153" s="7" customFormat="1" ht="100.05" customHeight="1" spans="1:2">
      <c r="A153" s="73" t="s">
        <v>304</v>
      </c>
      <c r="B153" s="74" t="s">
        <v>305</v>
      </c>
    </row>
    <row r="154" spans="1:2">
      <c r="A154" s="85" t="s">
        <v>306</v>
      </c>
      <c r="B154" s="75" t="s">
        <v>307</v>
      </c>
    </row>
    <row r="155" spans="1:2">
      <c r="A155" s="85" t="s">
        <v>308</v>
      </c>
      <c r="B155" s="75" t="s">
        <v>309</v>
      </c>
    </row>
    <row r="156" spans="1:2">
      <c r="A156" s="85" t="s">
        <v>310</v>
      </c>
      <c r="B156" s="75" t="s">
        <v>311</v>
      </c>
    </row>
    <row r="157" spans="1:2">
      <c r="A157" s="85" t="s">
        <v>312</v>
      </c>
      <c r="B157" s="75" t="s">
        <v>313</v>
      </c>
    </row>
    <row r="158" spans="1:2">
      <c r="A158" s="85" t="s">
        <v>314</v>
      </c>
      <c r="B158" s="75" t="s">
        <v>315</v>
      </c>
    </row>
    <row r="159" spans="1:2">
      <c r="A159" s="85" t="s">
        <v>316</v>
      </c>
      <c r="B159" s="86" t="s">
        <v>317</v>
      </c>
    </row>
    <row r="160" spans="1:2">
      <c r="A160" s="85" t="s">
        <v>318</v>
      </c>
      <c r="B160" s="75" t="s">
        <v>319</v>
      </c>
    </row>
    <row r="161" ht="12.75" customHeight="1" spans="1:2">
      <c r="A161" s="85" t="s">
        <v>320</v>
      </c>
      <c r="B161" s="75" t="s">
        <v>321</v>
      </c>
    </row>
    <row r="162" spans="1:2">
      <c r="A162" s="85" t="s">
        <v>322</v>
      </c>
      <c r="B162" s="75" t="s">
        <v>323</v>
      </c>
    </row>
    <row r="163" spans="1:2">
      <c r="A163" s="85" t="s">
        <v>324</v>
      </c>
      <c r="B163" s="75" t="s">
        <v>325</v>
      </c>
    </row>
    <row r="164" spans="1:2">
      <c r="A164" s="85" t="s">
        <v>326</v>
      </c>
      <c r="B164" s="75" t="s">
        <v>327</v>
      </c>
    </row>
    <row r="165" spans="1:2">
      <c r="A165" s="85" t="s">
        <v>328</v>
      </c>
      <c r="B165" s="75" t="s">
        <v>329</v>
      </c>
    </row>
    <row r="166" spans="1:2">
      <c r="A166" s="85" t="s">
        <v>330</v>
      </c>
      <c r="B166" s="75" t="s">
        <v>331</v>
      </c>
    </row>
    <row r="167" spans="1:2">
      <c r="A167" s="85" t="s">
        <v>332</v>
      </c>
      <c r="B167" s="75" t="s">
        <v>333</v>
      </c>
    </row>
    <row r="168" spans="1:2">
      <c r="A168" s="85" t="s">
        <v>334</v>
      </c>
      <c r="B168" s="75" t="s">
        <v>335</v>
      </c>
    </row>
    <row r="169" spans="1:2">
      <c r="A169" s="85" t="s">
        <v>336</v>
      </c>
      <c r="B169" s="75" t="s">
        <v>337</v>
      </c>
    </row>
    <row r="170" spans="1:2">
      <c r="A170" s="85" t="s">
        <v>338</v>
      </c>
      <c r="B170" s="75" t="s">
        <v>339</v>
      </c>
    </row>
    <row r="171" spans="1:2">
      <c r="A171" s="85" t="s">
        <v>340</v>
      </c>
      <c r="B171" s="75" t="s">
        <v>341</v>
      </c>
    </row>
    <row r="172" spans="1:2">
      <c r="A172" s="87" t="s">
        <v>342</v>
      </c>
      <c r="B172" s="75" t="s">
        <v>343</v>
      </c>
    </row>
    <row r="173" spans="1:2">
      <c r="A173" s="87" t="s">
        <v>344</v>
      </c>
      <c r="B173" s="75" t="s">
        <v>345</v>
      </c>
    </row>
    <row r="174" spans="1:2">
      <c r="A174" s="85" t="s">
        <v>346</v>
      </c>
      <c r="B174" s="86" t="s">
        <v>347</v>
      </c>
    </row>
    <row r="175" spans="1:2">
      <c r="A175" s="85" t="s">
        <v>348</v>
      </c>
      <c r="B175" s="86" t="s">
        <v>349</v>
      </c>
    </row>
    <row r="176" spans="1:2">
      <c r="A176" s="85" t="s">
        <v>350</v>
      </c>
      <c r="B176" s="86" t="s">
        <v>351</v>
      </c>
    </row>
    <row r="177" spans="1:2">
      <c r="A177" s="85" t="s">
        <v>352</v>
      </c>
      <c r="B177" s="86" t="s">
        <v>353</v>
      </c>
    </row>
    <row r="178" spans="1:2">
      <c r="A178" s="85" t="s">
        <v>354</v>
      </c>
      <c r="B178" s="86" t="s">
        <v>355</v>
      </c>
    </row>
    <row r="179" spans="1:2">
      <c r="A179" s="85" t="s">
        <v>356</v>
      </c>
      <c r="B179" s="86" t="s">
        <v>357</v>
      </c>
    </row>
    <row r="180" spans="1:2">
      <c r="A180" s="85" t="s">
        <v>358</v>
      </c>
      <c r="B180" s="86" t="s">
        <v>359</v>
      </c>
    </row>
    <row r="181" spans="1:2">
      <c r="A181" s="85" t="s">
        <v>360</v>
      </c>
      <c r="B181" s="86" t="s">
        <v>361</v>
      </c>
    </row>
    <row r="182" spans="1:2">
      <c r="A182" s="85" t="s">
        <v>362</v>
      </c>
      <c r="B182" s="86" t="s">
        <v>363</v>
      </c>
    </row>
    <row r="183" spans="1:2">
      <c r="A183" s="85" t="s">
        <v>364</v>
      </c>
      <c r="B183" s="86" t="s">
        <v>365</v>
      </c>
    </row>
    <row r="184" spans="1:2">
      <c r="A184" s="85" t="s">
        <v>366</v>
      </c>
      <c r="B184" s="86" t="s">
        <v>367</v>
      </c>
    </row>
    <row r="185" spans="1:2">
      <c r="A185" s="85" t="s">
        <v>368</v>
      </c>
      <c r="B185" s="86" t="s">
        <v>369</v>
      </c>
    </row>
    <row r="186" spans="1:2">
      <c r="A186" s="85" t="s">
        <v>370</v>
      </c>
      <c r="B186" s="86" t="s">
        <v>371</v>
      </c>
    </row>
    <row r="187" spans="1:2">
      <c r="A187" s="85" t="s">
        <v>372</v>
      </c>
      <c r="B187" s="86" t="s">
        <v>373</v>
      </c>
    </row>
    <row r="188" spans="1:2">
      <c r="A188" s="85" t="s">
        <v>374</v>
      </c>
      <c r="B188" s="86" t="s">
        <v>375</v>
      </c>
    </row>
    <row r="189" spans="1:2">
      <c r="A189" s="85" t="s">
        <v>376</v>
      </c>
      <c r="B189" s="86" t="s">
        <v>377</v>
      </c>
    </row>
    <row r="190" spans="1:2">
      <c r="A190" s="85" t="s">
        <v>378</v>
      </c>
      <c r="B190" s="86" t="s">
        <v>379</v>
      </c>
    </row>
    <row r="191" spans="1:2">
      <c r="A191" s="85" t="s">
        <v>380</v>
      </c>
      <c r="B191" s="86" t="s">
        <v>381</v>
      </c>
    </row>
    <row r="192" spans="1:2">
      <c r="A192" s="85" t="s">
        <v>382</v>
      </c>
      <c r="B192" s="86" t="s">
        <v>383</v>
      </c>
    </row>
    <row r="193" spans="1:2">
      <c r="A193" s="88" t="s">
        <v>384</v>
      </c>
      <c r="B193" s="89" t="s">
        <v>385</v>
      </c>
    </row>
    <row r="194" spans="1:2">
      <c r="A194" s="87" t="s">
        <v>386</v>
      </c>
      <c r="B194" s="90" t="s">
        <v>387</v>
      </c>
    </row>
    <row r="195" ht="15" spans="1:2">
      <c r="A195" s="91" t="s">
        <v>388</v>
      </c>
      <c r="B195" s="92"/>
    </row>
    <row r="196" ht="15" spans="1:2">
      <c r="A196" s="91" t="s">
        <v>389</v>
      </c>
      <c r="B196" s="94" t="s">
        <v>390</v>
      </c>
    </row>
    <row r="197" ht="15" spans="1:2">
      <c r="A197" s="91" t="s">
        <v>391</v>
      </c>
      <c r="B197" s="94" t="s">
        <v>392</v>
      </c>
    </row>
    <row r="198" ht="15" spans="1:2">
      <c r="A198" s="91" t="s">
        <v>393</v>
      </c>
      <c r="B198" s="94" t="s">
        <v>394</v>
      </c>
    </row>
    <row r="199" ht="15" spans="1:2">
      <c r="A199" s="91" t="s">
        <v>395</v>
      </c>
      <c r="B199" s="94" t="s">
        <v>396</v>
      </c>
    </row>
    <row r="200" ht="15" spans="1:2">
      <c r="A200" s="91" t="s">
        <v>397</v>
      </c>
      <c r="B200" s="94" t="s">
        <v>398</v>
      </c>
    </row>
    <row r="201" ht="15" spans="1:2">
      <c r="A201" s="91" t="s">
        <v>399</v>
      </c>
      <c r="B201" s="94" t="s">
        <v>400</v>
      </c>
    </row>
    <row r="202" ht="15" spans="1:2">
      <c r="A202" s="91" t="s">
        <v>401</v>
      </c>
      <c r="B202" s="92" t="s">
        <v>402</v>
      </c>
    </row>
    <row r="203" ht="15" spans="1:2">
      <c r="A203" s="91" t="s">
        <v>403</v>
      </c>
      <c r="B203" s="94" t="s">
        <v>404</v>
      </c>
    </row>
    <row r="204" ht="15" spans="1:2">
      <c r="A204" s="91" t="s">
        <v>405</v>
      </c>
      <c r="B204" s="94" t="s">
        <v>406</v>
      </c>
    </row>
    <row r="205" ht="15" spans="1:2">
      <c r="A205" s="91" t="s">
        <v>407</v>
      </c>
      <c r="B205" s="94" t="s">
        <v>408</v>
      </c>
    </row>
    <row r="206" ht="15" spans="1:2">
      <c r="A206" s="91" t="s">
        <v>409</v>
      </c>
      <c r="B206" s="94" t="s">
        <v>410</v>
      </c>
    </row>
    <row r="207" ht="15" spans="1:2">
      <c r="A207" s="91" t="s">
        <v>411</v>
      </c>
      <c r="B207" s="94" t="s">
        <v>412</v>
      </c>
    </row>
    <row r="208" ht="15" spans="1:2">
      <c r="A208" s="91" t="s">
        <v>413</v>
      </c>
      <c r="B208" s="94" t="s">
        <v>414</v>
      </c>
    </row>
    <row r="209" ht="15" spans="1:2">
      <c r="A209" s="91" t="s">
        <v>415</v>
      </c>
      <c r="B209" s="94" t="s">
        <v>416</v>
      </c>
    </row>
    <row r="210" ht="15" spans="1:2">
      <c r="A210" s="91" t="s">
        <v>417</v>
      </c>
      <c r="B210" s="94" t="s">
        <v>418</v>
      </c>
    </row>
    <row r="211" ht="15" spans="1:2">
      <c r="A211" s="91" t="s">
        <v>419</v>
      </c>
      <c r="B211" s="94" t="s">
        <v>420</v>
      </c>
    </row>
    <row r="212" ht="15" spans="1:2">
      <c r="A212" s="91" t="s">
        <v>421</v>
      </c>
      <c r="B212" s="94" t="s">
        <v>422</v>
      </c>
    </row>
    <row r="213" ht="15" spans="1:2">
      <c r="A213" s="91" t="s">
        <v>423</v>
      </c>
      <c r="B213" s="94" t="s">
        <v>424</v>
      </c>
    </row>
    <row r="214" ht="15" spans="1:2">
      <c r="A214" s="91" t="s">
        <v>425</v>
      </c>
      <c r="B214" s="94" t="s">
        <v>426</v>
      </c>
    </row>
    <row r="215" ht="15" spans="1:2">
      <c r="A215" s="91" t="s">
        <v>427</v>
      </c>
      <c r="B215" s="94" t="s">
        <v>428</v>
      </c>
    </row>
    <row r="216" ht="15" spans="1:2">
      <c r="A216" s="91" t="s">
        <v>429</v>
      </c>
      <c r="B216" s="94" t="s">
        <v>430</v>
      </c>
    </row>
    <row r="217" spans="1:2">
      <c r="A217" s="69" t="s">
        <v>431</v>
      </c>
      <c r="B217" s="94" t="s">
        <v>432</v>
      </c>
    </row>
  </sheetData>
  <conditionalFormatting sqref="B80">
    <cfRule type="duplicateValues" dxfId="0" priority="1"/>
  </conditionalFormatting>
  <dataValidations count="1">
    <dataValidation type="list" allowBlank="1" showInputMessage="1" showErrorMessage="1" sqref="A119">
      <formula1>"部办,综合室,汽发室,水轮机工艺室,非标技术室,工艺试验室,数控编程室,焊接工艺室,工具技术室,工时定额,水发工艺室,冲剪工艺室,返聘"</formula1>
    </dataValidation>
  </dataValidations>
  <pageMargins left="0.7" right="0.7" top="0.75" bottom="0.75" header="0.3" footer="0.3"/>
  <pageSetup paperSize="9" orientation="landscape" horizontalDpi="180" verticalDpi="18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AL185"/>
  <sheetViews>
    <sheetView workbookViewId="0">
      <selection activeCell="A2" sqref="$A2:$XFD2"/>
    </sheetView>
  </sheetViews>
  <sheetFormatPr defaultColWidth="9" defaultRowHeight="13.5" customHeight="1"/>
  <cols>
    <col min="5" max="5" width="10.4454545454545" customWidth="1"/>
  </cols>
  <sheetData>
    <row r="1" ht="14" spans="1:38">
      <c r="A1" s="58" t="s">
        <v>433</v>
      </c>
      <c r="B1" s="58" t="s">
        <v>434</v>
      </c>
      <c r="C1" s="58" t="s">
        <v>435</v>
      </c>
      <c r="D1" s="58" t="s">
        <v>436</v>
      </c>
      <c r="E1" s="58" t="s">
        <v>437</v>
      </c>
      <c r="F1" s="58" t="s">
        <v>438</v>
      </c>
      <c r="G1" s="58" t="s">
        <v>439</v>
      </c>
      <c r="H1" s="58" t="s">
        <v>440</v>
      </c>
      <c r="I1" s="58" t="s">
        <v>441</v>
      </c>
      <c r="J1" s="58" t="s">
        <v>442</v>
      </c>
      <c r="K1" s="58" t="s">
        <v>443</v>
      </c>
      <c r="L1" s="58" t="s">
        <v>444</v>
      </c>
      <c r="M1" s="58" t="s">
        <v>445</v>
      </c>
      <c r="N1" s="58" t="s">
        <v>446</v>
      </c>
      <c r="O1" s="58" t="s">
        <v>447</v>
      </c>
      <c r="P1" s="58" t="s">
        <v>444</v>
      </c>
      <c r="Q1" s="58" t="s">
        <v>445</v>
      </c>
      <c r="R1" s="58" t="s">
        <v>446</v>
      </c>
      <c r="S1" s="58" t="s">
        <v>448</v>
      </c>
      <c r="T1" s="58" t="s">
        <v>449</v>
      </c>
      <c r="U1" s="58" t="s">
        <v>450</v>
      </c>
      <c r="V1" s="58" t="s">
        <v>451</v>
      </c>
      <c r="W1" s="58" t="s">
        <v>452</v>
      </c>
      <c r="X1" s="58" t="s">
        <v>453</v>
      </c>
      <c r="Y1" s="59" t="s">
        <v>454</v>
      </c>
      <c r="Z1" s="60" t="s">
        <v>455</v>
      </c>
      <c r="AA1" s="61" t="s">
        <v>456</v>
      </c>
      <c r="AB1" s="62" t="s">
        <v>457</v>
      </c>
      <c r="AC1" s="58" t="s">
        <v>458</v>
      </c>
      <c r="AD1" s="58" t="s">
        <v>459</v>
      </c>
      <c r="AE1" s="58" t="s">
        <v>460</v>
      </c>
      <c r="AF1" s="58" t="s">
        <v>461</v>
      </c>
      <c r="AG1" s="58" t="s">
        <v>462</v>
      </c>
      <c r="AH1" s="63" t="s">
        <v>463</v>
      </c>
      <c r="AI1" s="64" t="s">
        <v>464</v>
      </c>
      <c r="AJ1" s="65" t="s">
        <v>465</v>
      </c>
      <c r="AK1" s="65" t="s">
        <v>466</v>
      </c>
      <c r="AL1" s="65" t="s">
        <v>467</v>
      </c>
    </row>
    <row r="4" customHeight="1" spans="1:38">
      <c r="A4" s="26" t="s">
        <v>468</v>
      </c>
    </row>
    <row r="6" ht="14" spans="1:38">
      <c r="A6" s="66"/>
    </row>
    <row r="7" ht="15" spans="1:38">
      <c r="A7" s="67"/>
    </row>
    <row r="8" ht="15" spans="1:38">
      <c r="A8" s="67"/>
    </row>
    <row r="9" ht="15" spans="1:38">
      <c r="A9" s="67"/>
    </row>
    <row r="10" ht="15" spans="1:38">
      <c r="A10" s="67"/>
    </row>
    <row r="11" ht="15" spans="1:38">
      <c r="A11" s="67"/>
    </row>
    <row r="12" ht="15" spans="1:38">
      <c r="A12" s="67"/>
    </row>
    <row r="13" ht="15" spans="1:38">
      <c r="A13" s="67"/>
    </row>
    <row r="14" ht="15" spans="1:38">
      <c r="A14" s="67"/>
    </row>
    <row r="15" ht="15" spans="1:38">
      <c r="A15" s="67"/>
    </row>
    <row r="16" ht="14" spans="1:38">
      <c r="A16" s="66"/>
    </row>
    <row r="17" ht="14" spans="1:1">
      <c r="A17" s="66"/>
    </row>
    <row r="18" ht="15" spans="1:1">
      <c r="A18" s="67"/>
    </row>
    <row r="19" ht="15" spans="1:1">
      <c r="A19" s="67"/>
    </row>
    <row r="20" ht="15" spans="1:1">
      <c r="A20" s="67"/>
    </row>
    <row r="21" ht="15" spans="1:1">
      <c r="A21" s="67"/>
    </row>
    <row r="22" ht="15" spans="1:1">
      <c r="A22" s="67"/>
    </row>
    <row r="23" ht="15" spans="1:1">
      <c r="A23" s="67"/>
    </row>
    <row r="24" ht="15" spans="1:1">
      <c r="A24" s="67"/>
    </row>
    <row r="25" ht="15" spans="1:1">
      <c r="A25" s="67"/>
    </row>
    <row r="26" ht="15" spans="1:1">
      <c r="A26" s="67"/>
    </row>
    <row r="27" ht="15" spans="1:1">
      <c r="A27" s="67"/>
    </row>
    <row r="28" ht="15" spans="1:1">
      <c r="A28" s="67"/>
    </row>
    <row r="29" ht="15" spans="1:1">
      <c r="A29" s="67"/>
    </row>
    <row r="30" ht="15" spans="1:1">
      <c r="A30" s="67"/>
    </row>
    <row r="31" ht="15" spans="1:1">
      <c r="A31" s="67"/>
    </row>
    <row r="32" ht="15" spans="1:1">
      <c r="A32" s="67"/>
    </row>
    <row r="33" ht="15" spans="1:1">
      <c r="A33" s="67"/>
    </row>
    <row r="34" ht="15" spans="1:1">
      <c r="A34" s="67"/>
    </row>
    <row r="35" ht="15" spans="1:1">
      <c r="A35" s="67"/>
    </row>
    <row r="36" ht="15" spans="1:1">
      <c r="A36" s="67"/>
    </row>
    <row r="37" ht="15" spans="1:1">
      <c r="A37" s="67"/>
    </row>
    <row r="38" ht="15" spans="1:1">
      <c r="A38" s="67"/>
    </row>
    <row r="39" ht="15" spans="1:1">
      <c r="A39" s="67"/>
    </row>
    <row r="40" ht="15" spans="1:1">
      <c r="A40" s="67"/>
    </row>
    <row r="41" ht="15" spans="1:1">
      <c r="A41" s="67"/>
    </row>
    <row r="42" ht="15" spans="1:1">
      <c r="A42" s="67"/>
    </row>
    <row r="43" ht="15" spans="1:1">
      <c r="A43" s="67"/>
    </row>
    <row r="44" ht="15" spans="1:1">
      <c r="A44" s="67"/>
    </row>
    <row r="45" ht="15" spans="1:1">
      <c r="A45" s="67"/>
    </row>
    <row r="46" ht="15" spans="1:1">
      <c r="A46" s="67"/>
    </row>
    <row r="47" ht="15" spans="1:1">
      <c r="A47" s="67"/>
    </row>
    <row r="48" ht="14" spans="1:1">
      <c r="A48" s="66"/>
    </row>
    <row r="49" ht="14" spans="1:1">
      <c r="A49" s="66"/>
    </row>
    <row r="50" ht="14" spans="1:1">
      <c r="A50" s="66"/>
    </row>
    <row r="51" ht="14" spans="1:1">
      <c r="A51" s="66"/>
    </row>
    <row r="52" ht="15" spans="1:1">
      <c r="A52" s="67"/>
    </row>
    <row r="53" ht="15" spans="1:1">
      <c r="A53" s="67"/>
    </row>
    <row r="54" ht="15" spans="1:1">
      <c r="A54" s="67"/>
    </row>
    <row r="55" ht="15" spans="1:1">
      <c r="A55" s="67"/>
    </row>
    <row r="56" ht="15" spans="1:1">
      <c r="A56" s="67"/>
    </row>
    <row r="57" ht="14" spans="1:1">
      <c r="A57" s="66"/>
    </row>
    <row r="58" ht="15" spans="1:1">
      <c r="A58" s="67"/>
    </row>
    <row r="59" ht="15" spans="1:1">
      <c r="A59" s="67"/>
    </row>
    <row r="60" ht="15" spans="1:1">
      <c r="A60" s="67"/>
    </row>
    <row r="61" ht="15" spans="1:1">
      <c r="A61" s="67"/>
    </row>
    <row r="62" ht="15" spans="1:1">
      <c r="A62" s="67"/>
    </row>
    <row r="63" ht="15" spans="1:1">
      <c r="A63" s="67"/>
    </row>
    <row r="64" ht="15" spans="1:1">
      <c r="A64" s="67"/>
    </row>
    <row r="65" ht="15" spans="1:1">
      <c r="A65" s="67"/>
    </row>
    <row r="66" ht="15" spans="1:1">
      <c r="A66" s="67"/>
    </row>
    <row r="67" ht="15" spans="1:1">
      <c r="A67" s="67"/>
    </row>
    <row r="68" ht="15" spans="1:1">
      <c r="A68" s="67"/>
    </row>
    <row r="69" ht="15" spans="1:1">
      <c r="A69" s="67"/>
    </row>
    <row r="70" ht="15" spans="1:1">
      <c r="A70" s="67"/>
    </row>
    <row r="71" ht="15" spans="1:1">
      <c r="A71" s="67"/>
    </row>
    <row r="72" ht="15" spans="1:1">
      <c r="A72" s="67"/>
    </row>
    <row r="73" ht="15" spans="1:1">
      <c r="A73" s="67"/>
    </row>
    <row r="74" ht="15" spans="1:1">
      <c r="A74" s="67"/>
    </row>
    <row r="75" ht="15" spans="1:1">
      <c r="A75" s="67"/>
    </row>
    <row r="76" ht="15" spans="1:1">
      <c r="A76" s="67"/>
    </row>
    <row r="77" ht="15" spans="1:1">
      <c r="A77" s="67"/>
    </row>
    <row r="78" ht="15" spans="1:1">
      <c r="A78" s="67"/>
    </row>
    <row r="79" ht="15" spans="1:1">
      <c r="A79" s="67"/>
    </row>
    <row r="80" ht="15" spans="1:1">
      <c r="A80" s="67"/>
    </row>
    <row r="81" ht="15" spans="1:1">
      <c r="A81" s="67"/>
    </row>
    <row r="82" ht="15" spans="1:1">
      <c r="A82" s="67"/>
    </row>
    <row r="83" ht="15" spans="1:1">
      <c r="A83" s="67"/>
    </row>
    <row r="84" ht="15" spans="1:1">
      <c r="A84" s="67"/>
    </row>
    <row r="85" ht="15" spans="1:1">
      <c r="A85" s="67"/>
    </row>
    <row r="86" ht="15" spans="1:1">
      <c r="A86" s="67"/>
    </row>
    <row r="87" ht="15" spans="1:1">
      <c r="A87" s="67"/>
    </row>
    <row r="88" ht="15" spans="1:1">
      <c r="A88" s="67"/>
    </row>
    <row r="89" ht="15" spans="1:1">
      <c r="A89" s="67"/>
    </row>
    <row r="90" ht="15" spans="1:1">
      <c r="A90" s="67"/>
    </row>
    <row r="91" ht="15" spans="1:1">
      <c r="A91" s="67"/>
    </row>
    <row r="92" ht="15" spans="1:1">
      <c r="A92" s="67"/>
    </row>
    <row r="93" ht="15" spans="1:1">
      <c r="A93" s="67"/>
    </row>
    <row r="94" ht="15" spans="1:1">
      <c r="A94" s="67"/>
    </row>
    <row r="95" ht="15" spans="1:1">
      <c r="A95" s="67"/>
    </row>
    <row r="96" ht="15" spans="1:1">
      <c r="A96" s="67"/>
    </row>
    <row r="97" ht="15" spans="1:1">
      <c r="A97" s="67"/>
    </row>
    <row r="98" ht="15" spans="1:1">
      <c r="A98" s="67"/>
    </row>
    <row r="99" ht="15" spans="1:1">
      <c r="A99" s="67"/>
    </row>
    <row r="100" ht="15" spans="1:1">
      <c r="A100" s="67"/>
    </row>
    <row r="101" ht="15" spans="1:1">
      <c r="A101" s="67"/>
    </row>
    <row r="102" ht="15" spans="1:1">
      <c r="A102" s="67"/>
    </row>
    <row r="103" ht="15" spans="1:1">
      <c r="A103" s="67"/>
    </row>
    <row r="104" ht="15" spans="1:1">
      <c r="A104" s="67"/>
    </row>
    <row r="105" ht="15" spans="1:1">
      <c r="A105" s="67"/>
    </row>
    <row r="106" ht="15" spans="1:1">
      <c r="A106" s="67"/>
    </row>
    <row r="107" ht="15" spans="1:1">
      <c r="A107" s="67"/>
    </row>
    <row r="108" ht="15" spans="1:1">
      <c r="A108" s="67"/>
    </row>
    <row r="109" ht="15" spans="1:1">
      <c r="A109" s="67"/>
    </row>
    <row r="110" ht="15" spans="1:1">
      <c r="A110" s="67"/>
    </row>
    <row r="111" ht="15" spans="1:1">
      <c r="A111" s="67"/>
    </row>
    <row r="112" ht="15" spans="1:1">
      <c r="A112" s="67"/>
    </row>
    <row r="113" ht="15" spans="1:1">
      <c r="A113" s="67"/>
    </row>
    <row r="114" ht="15" spans="1:1">
      <c r="A114" s="67"/>
    </row>
    <row r="115" ht="15" spans="1:1">
      <c r="A115" s="67"/>
    </row>
    <row r="116" ht="15" spans="1:1">
      <c r="A116" s="67"/>
    </row>
    <row r="117" ht="15" spans="1:1">
      <c r="A117" s="67"/>
    </row>
    <row r="118" ht="14" spans="1:1">
      <c r="A118" s="66"/>
    </row>
    <row r="119" ht="14" spans="1:1">
      <c r="A119" s="66"/>
    </row>
    <row r="120" ht="14" spans="1:1">
      <c r="A120" s="66"/>
    </row>
    <row r="121" ht="14" spans="1:1">
      <c r="A121" s="66"/>
    </row>
    <row r="122" ht="14" spans="1:1">
      <c r="A122" s="66"/>
    </row>
    <row r="123" ht="15" spans="1:1">
      <c r="A123" s="67"/>
    </row>
    <row r="124" ht="15" spans="1:1">
      <c r="A124" s="67"/>
    </row>
    <row r="125" ht="15" spans="1:1">
      <c r="A125" s="67"/>
    </row>
    <row r="126" ht="15" spans="1:1">
      <c r="A126" s="67"/>
    </row>
    <row r="127" ht="15" spans="1:1">
      <c r="A127" s="67"/>
    </row>
    <row r="128" ht="15" spans="1:1">
      <c r="A128" s="67"/>
    </row>
    <row r="129" ht="15" spans="1:1">
      <c r="A129" s="67"/>
    </row>
    <row r="130" ht="15" spans="1:1">
      <c r="A130" s="67"/>
    </row>
    <row r="131" ht="15" spans="1:1">
      <c r="A131" s="67"/>
    </row>
    <row r="132" ht="15" spans="1:1">
      <c r="A132" s="67"/>
    </row>
    <row r="133" ht="15" spans="1:1">
      <c r="A133" s="67"/>
    </row>
    <row r="134" ht="15" spans="1:1">
      <c r="A134" s="67"/>
    </row>
    <row r="135" ht="15" spans="1:1">
      <c r="A135" s="67"/>
    </row>
    <row r="136" ht="15" spans="1:1">
      <c r="A136" s="67"/>
    </row>
    <row r="137" ht="15" spans="1:1">
      <c r="A137" s="67"/>
    </row>
    <row r="138" ht="15" spans="1:1">
      <c r="A138" s="67"/>
    </row>
    <row r="139" ht="15" spans="1:1">
      <c r="A139" s="67"/>
    </row>
    <row r="140" ht="15" spans="1:1">
      <c r="A140" s="67"/>
    </row>
    <row r="141" ht="15" spans="1:1">
      <c r="A141" s="67"/>
    </row>
    <row r="142" ht="15" spans="1:1">
      <c r="A142" s="67"/>
    </row>
    <row r="143" ht="15" spans="1:1">
      <c r="A143" s="67"/>
    </row>
    <row r="144" ht="15" spans="1:1">
      <c r="A144" s="67"/>
    </row>
    <row r="145" ht="15" spans="1:1">
      <c r="A145" s="67"/>
    </row>
    <row r="146" ht="15" spans="1:1">
      <c r="A146" s="67"/>
    </row>
    <row r="147" ht="15" spans="1:1">
      <c r="A147" s="67"/>
    </row>
    <row r="148" ht="14" spans="1:1">
      <c r="A148" s="66"/>
    </row>
    <row r="149" ht="14" spans="1:1">
      <c r="A149" s="66"/>
    </row>
    <row r="150" ht="14" spans="1:1">
      <c r="A150" s="66"/>
    </row>
    <row r="151" ht="14" spans="1:1">
      <c r="A151" s="66"/>
    </row>
    <row r="152" ht="15" spans="1:1">
      <c r="A152" s="67"/>
    </row>
    <row r="153" ht="15" spans="1:1">
      <c r="A153" s="67"/>
    </row>
    <row r="154" ht="15" spans="1:1">
      <c r="A154" s="67"/>
    </row>
    <row r="155" ht="15" spans="1:1">
      <c r="A155" s="67"/>
    </row>
    <row r="156" ht="15" spans="1:1">
      <c r="A156" s="67"/>
    </row>
    <row r="157" ht="15" spans="1:1">
      <c r="A157" s="67"/>
    </row>
    <row r="158" ht="15" spans="1:1">
      <c r="A158" s="67"/>
    </row>
    <row r="159" ht="15" spans="1:1">
      <c r="A159" s="67"/>
    </row>
    <row r="160" ht="15" spans="1:1">
      <c r="A160" s="67"/>
    </row>
    <row r="161" ht="15" spans="1:1">
      <c r="A161" s="67"/>
    </row>
    <row r="162" ht="15" spans="1:1">
      <c r="A162" s="67"/>
    </row>
    <row r="163" ht="15" spans="1:1">
      <c r="A163" s="67"/>
    </row>
    <row r="164" ht="15" spans="1:1">
      <c r="A164" s="67"/>
    </row>
    <row r="165" ht="15" spans="1:1">
      <c r="A165" s="67"/>
    </row>
    <row r="166" ht="15" spans="1:1">
      <c r="A166" s="67"/>
    </row>
    <row r="167" ht="15" spans="1:1">
      <c r="A167" s="67"/>
    </row>
    <row r="168" ht="15" spans="1:1">
      <c r="A168" s="67"/>
    </row>
    <row r="169" ht="15" spans="1:1">
      <c r="A169" s="67"/>
    </row>
    <row r="170" ht="15" spans="1:1">
      <c r="A170" s="67"/>
    </row>
    <row r="171" ht="15" spans="1:1">
      <c r="A171" s="67"/>
    </row>
    <row r="172" ht="15" spans="1:1">
      <c r="A172" s="67"/>
    </row>
    <row r="173" ht="15" spans="1:1">
      <c r="A173" s="67"/>
    </row>
    <row r="174" ht="14" spans="1:1">
      <c r="A174" s="66"/>
    </row>
    <row r="175" ht="14" spans="1:1">
      <c r="A175" s="66"/>
    </row>
    <row r="176" ht="14" spans="1:1">
      <c r="A176" s="66"/>
    </row>
    <row r="177" ht="14" spans="1:1">
      <c r="A177" s="66"/>
    </row>
    <row r="178" ht="14" spans="1:1">
      <c r="A178" s="66"/>
    </row>
    <row r="179" ht="14" spans="1:1">
      <c r="A179" s="66"/>
    </row>
    <row r="180" ht="14" spans="1:1">
      <c r="A180" s="66"/>
    </row>
    <row r="181" ht="15" spans="1:1">
      <c r="A181" s="67"/>
    </row>
    <row r="182" ht="15" spans="1:1">
      <c r="A182" s="67"/>
    </row>
    <row r="183" ht="15" spans="1:1">
      <c r="A183" s="67"/>
    </row>
    <row r="184" ht="14" spans="1:1">
      <c r="A184" s="66"/>
    </row>
    <row r="185" ht="15" spans="1:1">
      <c r="A185" s="67"/>
    </row>
  </sheetData>
  <dataValidations count="1">
    <dataValidation type="list" allowBlank="1" showInputMessage="1" showErrorMessage="1" sqref="B2:B5">
      <formula1>"部办,综合室,汽发室,水轮机工艺室,非标技术室,工艺试验室,数控编程室,焊接工艺室,工具技术室,工时定额,水发工艺室,冲剪工艺室,返聘"</formula1>
    </dataValidation>
  </dataValidations>
  <hyperlinks>
    <hyperlink ref="A4" location="目录!A1" display="返回目录"/>
  </hyperlinks>
  <pageMargins left="0.698611111111111" right="0.698611111111111" top="0.75" bottom="0.75" header="0.3" footer="0.3"/>
  <pageSetup paperSize="9" firstPageNumber="4294963191" orientation="portrait" useFirstPageNumber="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B25"/>
  <sheetViews>
    <sheetView workbookViewId="0">
      <selection activeCell="A2" sqref="$A2:$XFD2"/>
    </sheetView>
  </sheetViews>
  <sheetFormatPr defaultColWidth="9" defaultRowHeight="13.5" customHeight="1" outlineLevelCol="1"/>
  <cols>
    <col min="1" max="1" width="37.3363636363636" customWidth="1"/>
    <col min="2" max="256" width="31.1181818181818" customWidth="1"/>
  </cols>
  <sheetData>
    <row r="1" ht="23.25" customHeight="1" spans="1:2">
      <c r="A1" s="46" t="s">
        <v>469</v>
      </c>
      <c r="B1" s="47" t="s">
        <v>470</v>
      </c>
    </row>
    <row r="2" ht="27.75" customHeight="1" spans="1:2">
      <c r="A2" s="48" t="s">
        <v>471</v>
      </c>
      <c r="B2" s="49">
        <f>COUNTA(#REF!)-1</f>
        <v>0</v>
      </c>
    </row>
    <row r="3" ht="30.75" customHeight="1" spans="1:2">
      <c r="A3" s="50" t="s">
        <v>472</v>
      </c>
      <c r="B3" s="50">
        <v>164</v>
      </c>
    </row>
    <row r="4" ht="26.25" customHeight="1" spans="1:2">
      <c r="A4" s="51" t="s">
        <v>473</v>
      </c>
      <c r="B4" s="51" t="e">
        <f>COUNTIF(#REF!,"中干")</f>
        <v>#REF!</v>
      </c>
    </row>
    <row r="5" ht="30.75" customHeight="1" spans="1:2">
      <c r="A5" s="52" t="s">
        <v>474</v>
      </c>
      <c r="B5" s="53" t="e">
        <f>COUNTIF(#REF!,"更夫")</f>
        <v>#REF!</v>
      </c>
    </row>
    <row r="6" ht="39.75" customHeight="1" spans="1:2">
      <c r="A6" s="54" t="s">
        <v>475</v>
      </c>
      <c r="B6" s="55">
        <v>6</v>
      </c>
    </row>
    <row r="7" ht="35.25" customHeight="1" spans="1:2">
      <c r="A7" s="56" t="s">
        <v>476</v>
      </c>
      <c r="B7" s="56" t="e">
        <f>COUNTIF(#REF!,"电焊工")</f>
        <v>#REF!</v>
      </c>
    </row>
    <row r="8" customHeight="1" spans="1:2">
      <c r="A8" s="57"/>
      <c r="B8" s="57"/>
    </row>
    <row r="9" customHeight="1" spans="1:2">
      <c r="A9" s="57"/>
      <c r="B9" s="57"/>
    </row>
    <row r="10" customHeight="1" spans="1:2">
      <c r="A10" s="57"/>
      <c r="B10" s="57"/>
    </row>
    <row r="11" customHeight="1" spans="1:2">
      <c r="A11" s="57"/>
      <c r="B11" s="57"/>
    </row>
    <row r="12" customHeight="1" spans="1:2">
      <c r="A12" s="57"/>
      <c r="B12" s="57"/>
    </row>
    <row r="13" customHeight="1" spans="1:2">
      <c r="A13" s="26" t="s">
        <v>468</v>
      </c>
      <c r="B13" s="57"/>
    </row>
    <row r="14" customHeight="1" spans="1:2">
      <c r="A14" s="57"/>
      <c r="B14" s="57"/>
    </row>
    <row r="15" customHeight="1" spans="1:2">
      <c r="A15" s="57"/>
      <c r="B15" s="57"/>
    </row>
    <row r="16" customHeight="1" spans="1:2">
      <c r="A16" s="57"/>
      <c r="B16" s="57"/>
    </row>
    <row r="17" customHeight="1" spans="1:2">
      <c r="A17" s="57"/>
      <c r="B17" s="57"/>
    </row>
    <row r="18" customHeight="1" spans="1:2">
      <c r="A18" s="57"/>
      <c r="B18" s="57"/>
    </row>
    <row r="19" customHeight="1" spans="1:2">
      <c r="A19" s="57"/>
      <c r="B19" s="57"/>
    </row>
    <row r="20" customHeight="1" spans="1:2">
      <c r="A20" s="57"/>
      <c r="B20" s="57"/>
    </row>
    <row r="21" customHeight="1" spans="1:2">
      <c r="A21" s="57"/>
      <c r="B21" s="57"/>
    </row>
    <row r="22" customHeight="1" spans="1:2">
      <c r="A22" s="57"/>
      <c r="B22" s="57"/>
    </row>
    <row r="23" customHeight="1" spans="1:2">
      <c r="A23" s="57"/>
      <c r="B23" s="57"/>
    </row>
    <row r="24" customHeight="1" spans="1:2">
      <c r="A24" s="57"/>
      <c r="B24" s="57"/>
    </row>
    <row r="25" customHeight="1" spans="1:2">
      <c r="B25" s="57"/>
    </row>
  </sheetData>
  <hyperlinks>
    <hyperlink ref="A13" location="目录!A1" display="返回目录"/>
  </hyperlinks>
  <pageMargins left="0.698611111111111" right="0.698611111111111" top="0.75" bottom="0.75" header="0.3" footer="0.3"/>
  <pageSetup paperSize="9" firstPageNumber="4294963191" orientation="portrait" useFirstPageNumber="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B11"/>
  <sheetViews>
    <sheetView workbookViewId="0">
      <selection activeCell="A2" sqref="$A2:$XFD2"/>
    </sheetView>
  </sheetViews>
  <sheetFormatPr defaultColWidth="9" defaultRowHeight="13.5" customHeight="1" outlineLevelCol="1"/>
  <cols>
    <col min="1" max="1" width="13.8818181818182" style="7" customWidth="1"/>
  </cols>
  <sheetData>
    <row r="1" customHeight="1" spans="1:2">
      <c r="A1" s="37" t="s">
        <v>477</v>
      </c>
      <c r="B1" s="37" t="s">
        <v>470</v>
      </c>
    </row>
    <row r="2" customHeight="1" spans="1:2">
      <c r="A2" s="38" t="s">
        <v>478</v>
      </c>
      <c r="B2" s="38" t="e">
        <f>COUNTIF(#REF!,"技术员")</f>
        <v>#REF!</v>
      </c>
    </row>
    <row r="3" customHeight="1" spans="1:2">
      <c r="A3" s="39" t="s">
        <v>479</v>
      </c>
      <c r="B3" s="39" t="e">
        <f>COUNTIF(#REF!,"助理工程师")</f>
        <v>#REF!</v>
      </c>
    </row>
    <row r="4" customHeight="1" spans="1:2">
      <c r="A4" s="40" t="s">
        <v>480</v>
      </c>
      <c r="B4" s="40" t="e">
        <f>COUNTIF(#REF!,"工程师")</f>
        <v>#REF!</v>
      </c>
    </row>
    <row r="5" customHeight="1" spans="1:2">
      <c r="A5" s="41" t="s">
        <v>481</v>
      </c>
      <c r="B5" s="41" t="e">
        <f>COUNTIF(#REF!,"高级工程师")</f>
        <v>#REF!</v>
      </c>
    </row>
    <row r="6" customHeight="1" spans="1:2">
      <c r="A6" s="42" t="s">
        <v>482</v>
      </c>
      <c r="B6" s="42" t="e">
        <f>COUNTIF(#REF!,"无")</f>
        <v>#REF!</v>
      </c>
    </row>
    <row r="7" customHeight="1" spans="1:2">
      <c r="A7" s="43"/>
    </row>
    <row r="8" customHeight="1" spans="1:2">
      <c r="A8" s="44"/>
    </row>
    <row r="9" customHeight="1" spans="1:2">
      <c r="A9" s="44"/>
    </row>
    <row r="10" customHeight="1" spans="1:2">
      <c r="A10" s="44"/>
    </row>
    <row r="11" customHeight="1" spans="1:2">
      <c r="A11" s="45" t="s">
        <v>468</v>
      </c>
    </row>
  </sheetData>
  <hyperlinks>
    <hyperlink ref="A11" location="目录!A1" display="返回目录"/>
  </hyperlinks>
  <pageMargins left="0.698611111111111" right="0.698611111111111" top="0.75" bottom="0.75" header="0.3" footer="0.3"/>
  <pageSetup paperSize="9" firstPageNumber="4294963191" orientation="portrait" useFirstPageNumber="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B18"/>
  <sheetViews>
    <sheetView workbookViewId="0">
      <selection activeCell="A2" sqref="$A2:$XFD2"/>
    </sheetView>
  </sheetViews>
  <sheetFormatPr defaultColWidth="9" defaultRowHeight="13.5" customHeight="1" outlineLevelCol="1"/>
  <sheetData>
    <row r="1" customHeight="1" spans="1:2">
      <c r="A1" s="27" t="s">
        <v>483</v>
      </c>
      <c r="B1" s="27" t="s">
        <v>470</v>
      </c>
    </row>
    <row r="2" customHeight="1" spans="1:2">
      <c r="A2" s="28" t="s">
        <v>484</v>
      </c>
      <c r="B2" s="11" t="e">
        <f>COUNTIF(#REF!,"高中")</f>
        <v>#REF!</v>
      </c>
    </row>
    <row r="3" customHeight="1" spans="1:2">
      <c r="A3" s="28" t="s">
        <v>485</v>
      </c>
      <c r="B3" s="11" t="e">
        <f>COUNTIF(#REF!,"中专")</f>
        <v>#REF!</v>
      </c>
    </row>
    <row r="4" customHeight="1" spans="1:2">
      <c r="A4" s="28" t="s">
        <v>486</v>
      </c>
      <c r="B4" s="11" t="e">
        <f>COUNTIF(#REF!,"大学专科")</f>
        <v>#REF!</v>
      </c>
    </row>
    <row r="5" customHeight="1" spans="1:2">
      <c r="A5" s="28" t="s">
        <v>487</v>
      </c>
      <c r="B5" s="11" t="e">
        <f>COUNTIF(#REF!,"大学本科")</f>
        <v>#REF!</v>
      </c>
    </row>
    <row r="6" customHeight="1" spans="1:2">
      <c r="A6" s="28" t="s">
        <v>488</v>
      </c>
      <c r="B6" s="11" t="e">
        <f>COUNTIF(#REF!,"硕士研究生")</f>
        <v>#REF!</v>
      </c>
    </row>
    <row r="7" customHeight="1" spans="1:2">
      <c r="A7" s="29" t="s">
        <v>489</v>
      </c>
      <c r="B7" s="11" t="e">
        <f>COUNTIF(#REF!,"博士")</f>
        <v>#REF!</v>
      </c>
    </row>
    <row r="8" customHeight="1" spans="1:2">
      <c r="A8" s="30"/>
      <c r="B8" s="30"/>
    </row>
    <row r="9" customHeight="1" spans="1:2">
      <c r="A9" s="31" t="s">
        <v>490</v>
      </c>
      <c r="B9" s="32" t="e">
        <f>B4+B3+B2</f>
        <v>#REF!</v>
      </c>
    </row>
    <row r="10" customHeight="1" spans="1:2">
      <c r="A10" s="33" t="s">
        <v>487</v>
      </c>
      <c r="B10" s="34" t="e">
        <f>B5</f>
        <v>#REF!</v>
      </c>
    </row>
    <row r="11" customHeight="1" spans="1:2">
      <c r="A11" s="33" t="s">
        <v>488</v>
      </c>
      <c r="B11" s="34" t="e">
        <f>B6</f>
        <v>#REF!</v>
      </c>
    </row>
    <row r="12" customHeight="1" spans="1:2">
      <c r="A12" s="35" t="s">
        <v>489</v>
      </c>
      <c r="B12" s="36" t="e">
        <f>B7</f>
        <v>#REF!</v>
      </c>
    </row>
    <row r="13" customHeight="1" spans="1:2">
      <c r="A13" s="15"/>
      <c r="B13" s="15"/>
    </row>
    <row r="14" customHeight="1" spans="1:2">
      <c r="A14" s="15"/>
      <c r="B14" s="15"/>
    </row>
    <row r="15" customHeight="1" spans="1:2">
      <c r="A15" s="15"/>
      <c r="B15" s="15"/>
    </row>
    <row r="16" customHeight="1" spans="1:2">
      <c r="A16" s="15"/>
      <c r="B16" s="15"/>
    </row>
    <row r="17" customHeight="1" spans="1:2">
      <c r="A17" s="15"/>
      <c r="B17" s="15"/>
    </row>
    <row r="18" customHeight="1" spans="1:2">
      <c r="A18" s="26" t="s">
        <v>468</v>
      </c>
      <c r="B18" s="15"/>
    </row>
  </sheetData>
  <hyperlinks>
    <hyperlink ref="A18" location="目录!A1" display="返回目录"/>
  </hyperlinks>
  <pageMargins left="0.698611111111111" right="0.698611111111111" top="0.75" bottom="0.75" header="0.3" footer="0.3"/>
  <pageSetup paperSize="9" firstPageNumber="4294963191" orientation="portrait" useFirstPageNumber="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:C22"/>
  <sheetViews>
    <sheetView workbookViewId="0">
      <selection activeCell="A2" sqref="$A2:$XFD2"/>
    </sheetView>
  </sheetViews>
  <sheetFormatPr defaultColWidth="9" defaultRowHeight="13.5" customHeight="1" outlineLevelCol="2"/>
  <cols>
    <col min="3" max="3" width="9.44545454545455" customWidth="1"/>
  </cols>
  <sheetData>
    <row r="1" customHeight="1" spans="1:3">
      <c r="A1" s="6" t="s">
        <v>491</v>
      </c>
      <c r="B1" s="6" t="s">
        <v>470</v>
      </c>
      <c r="C1" s="7"/>
    </row>
    <row r="2" customHeight="1" spans="1:3">
      <c r="A2" s="8" t="s">
        <v>492</v>
      </c>
      <c r="B2" s="9" t="e">
        <f>COUNTIF(#REF!,"&lt;19600101")</f>
        <v>#REF!</v>
      </c>
    </row>
    <row r="3" customHeight="1" spans="1:3">
      <c r="A3" s="8" t="s">
        <v>493</v>
      </c>
      <c r="B3" s="9" t="e">
        <f>COUNTIFS(#REF!,"&gt;19591231",#REF!,"&lt;19700101")</f>
        <v>#REF!</v>
      </c>
    </row>
    <row r="4" customHeight="1" spans="1:3">
      <c r="A4" s="10" t="s">
        <v>494</v>
      </c>
      <c r="B4" s="11" t="e">
        <f>COUNTIFS(#REF!,"&gt;19691231",#REF!,"&lt;19800101")</f>
        <v>#REF!</v>
      </c>
    </row>
    <row r="5" customHeight="1" spans="1:3">
      <c r="A5" s="10" t="s">
        <v>495</v>
      </c>
      <c r="B5" s="11" t="e">
        <f>COUNTIFS(#REF!,"&gt;19791231",#REF!,"&lt;19900101")</f>
        <v>#REF!</v>
      </c>
    </row>
    <row r="6" customHeight="1" spans="1:3">
      <c r="A6" s="12" t="s">
        <v>496</v>
      </c>
      <c r="B6" s="13" t="e">
        <f>COUNTIFS(#REF!,"&gt;19891231",#REF!,"&lt;20000101")</f>
        <v>#REF!</v>
      </c>
    </row>
    <row r="7" customHeight="1" spans="1:3">
      <c r="A7" s="14"/>
      <c r="B7" s="15"/>
    </row>
    <row r="8" customHeight="1" spans="1:3">
      <c r="A8" s="15"/>
      <c r="B8" s="15"/>
    </row>
    <row r="9" customHeight="1" spans="1:3">
      <c r="A9" s="16" t="s">
        <v>471</v>
      </c>
      <c r="B9" s="16" t="s">
        <v>497</v>
      </c>
    </row>
    <row r="10" customHeight="1" spans="1:3">
      <c r="A10" s="17">
        <f>COUNTA(#REF!)-1</f>
        <v>0</v>
      </c>
      <c r="B10" s="18" t="e">
        <f>SUM(#REF!)/A10</f>
        <v>#REF!</v>
      </c>
    </row>
    <row r="11" customHeight="1" spans="1:3">
      <c r="A11" s="15"/>
      <c r="B11" s="15"/>
    </row>
    <row r="12" customHeight="1" spans="1:3">
      <c r="A12" s="15"/>
      <c r="B12" s="15"/>
    </row>
    <row r="13" customHeight="1" spans="1:3">
      <c r="A13" s="19" t="s">
        <v>491</v>
      </c>
      <c r="B13" s="19" t="s">
        <v>470</v>
      </c>
    </row>
    <row r="14" customHeight="1" spans="1:3">
      <c r="A14" s="20" t="s">
        <v>492</v>
      </c>
      <c r="B14" s="21" t="e">
        <f>COUNTIFS(#REF!,"&lt;19600101",#REF!,"技术")</f>
        <v>#REF!</v>
      </c>
    </row>
    <row r="15" customHeight="1" spans="1:3">
      <c r="A15" s="22" t="s">
        <v>493</v>
      </c>
      <c r="B15" s="23" t="e">
        <f>COUNTIFS(#REF!,"&gt;19591231",#REF!,"&lt;19700101",#REF!,"技术")</f>
        <v>#REF!</v>
      </c>
    </row>
    <row r="16" customHeight="1" spans="1:3">
      <c r="A16" s="22" t="s">
        <v>494</v>
      </c>
      <c r="B16" s="23" t="e">
        <f>COUNTIFS(#REF!,"&gt;19691231",#REF!,"&lt;19800101",#REF!,"技术")</f>
        <v>#REF!</v>
      </c>
    </row>
    <row r="17" customHeight="1" spans="1:2">
      <c r="A17" s="22" t="s">
        <v>495</v>
      </c>
      <c r="B17" s="23" t="e">
        <f>COUNTIFS(#REF!,"&gt;19791231",#REF!,"&lt;19900101",#REF!,"技术")</f>
        <v>#REF!</v>
      </c>
    </row>
    <row r="18" customHeight="1" spans="1:2">
      <c r="A18" s="24" t="s">
        <v>496</v>
      </c>
      <c r="B18" s="25" t="e">
        <f>COUNTIFS(#REF!,"&gt;19891231",#REF!,"&lt;20000101",#REF!,"技术")</f>
        <v>#REF!</v>
      </c>
    </row>
    <row r="19" customHeight="1" spans="1:2">
      <c r="A19" s="15"/>
      <c r="B19" s="15"/>
    </row>
    <row r="20" customHeight="1" spans="1:2">
      <c r="A20" s="15"/>
      <c r="B20" s="15"/>
    </row>
    <row r="21" customHeight="1" spans="1:2">
      <c r="A21" s="15"/>
      <c r="B21" s="15"/>
    </row>
    <row r="22" customHeight="1" spans="1:2">
      <c r="A22" s="26" t="s">
        <v>468</v>
      </c>
      <c r="B22" s="15"/>
    </row>
  </sheetData>
  <hyperlinks>
    <hyperlink ref="A22" location="目录!A1" display="返回目录"/>
  </hyperlinks>
  <pageMargins left="0.698611111111111" right="0.698611111111111" top="0.75" bottom="0.75" header="0.3" footer="0.3"/>
  <pageSetup paperSize="9" firstPageNumber="4294963191" orientation="portrait" useFirstPageNumber="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/>
  <dimension ref="A1:B11"/>
  <sheetViews>
    <sheetView workbookViewId="0">
      <selection activeCell="A2" sqref="$A2:$XFD2"/>
    </sheetView>
  </sheetViews>
  <sheetFormatPr defaultColWidth="9" defaultRowHeight="13.5" customHeight="1" outlineLevelCol="1"/>
  <sheetData>
    <row r="1" customHeight="1" spans="1:2">
      <c r="A1" s="1" t="s">
        <v>456</v>
      </c>
      <c r="B1" s="2" t="s">
        <v>470</v>
      </c>
    </row>
    <row r="2" customHeight="1" spans="1:2">
      <c r="A2" s="3" t="s">
        <v>498</v>
      </c>
    </row>
    <row r="3" customHeight="1" spans="1:2">
      <c r="A3" s="4" t="s">
        <v>499</v>
      </c>
    </row>
    <row r="4" customHeight="1" spans="1:2">
      <c r="A4" s="4" t="s">
        <v>500</v>
      </c>
    </row>
    <row r="5" customHeight="1" spans="1:2">
      <c r="A5" s="4" t="s">
        <v>501</v>
      </c>
    </row>
    <row r="6" customHeight="1" spans="1:2">
      <c r="A6" s="4" t="s">
        <v>502</v>
      </c>
    </row>
    <row r="7" customHeight="1" spans="1:2">
      <c r="A7" s="4" t="s">
        <v>503</v>
      </c>
    </row>
    <row r="8" customHeight="1" spans="1:2">
      <c r="A8" s="4" t="s">
        <v>504</v>
      </c>
    </row>
    <row r="9" customHeight="1" spans="1:2">
      <c r="A9" s="4" t="s">
        <v>505</v>
      </c>
    </row>
    <row r="10" customHeight="1" spans="1:2">
      <c r="A10" s="4" t="s">
        <v>506</v>
      </c>
    </row>
    <row r="11" customHeight="1" spans="1:2">
      <c r="A11" s="5" t="s">
        <v>507</v>
      </c>
    </row>
  </sheetData>
  <pageMargins left="0.698611111111111" right="0.698611111111111" top="0.75" bottom="0.75" header="0.3" footer="0.3"/>
  <pageSetup paperSize="9" firstPageNumber="4294963191" orientation="portrait" useFirstPageNumber="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"/>
  <dimension ref="A1"/>
  <sheetViews>
    <sheetView workbookViewId="0">
      <selection activeCell="A2" sqref="$A2:$XFD2"/>
    </sheetView>
  </sheetViews>
  <sheetFormatPr defaultColWidth="9" defaultRowHeight="13.5" customHeight="1"/>
  <sheetData/>
  <pageMargins left="0.698611111111111" right="0.698611111111111" top="0.75" bottom="0.75" header="0.3" footer="0.3"/>
  <pageSetup paperSize="9" firstPageNumber="4294963191" orientation="portrait" useFirstPageNumber="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汇总</vt:lpstr>
      <vt:lpstr>返聘</vt:lpstr>
      <vt:lpstr>人员结构</vt:lpstr>
      <vt:lpstr>职称分布</vt:lpstr>
      <vt:lpstr>学历分布</vt:lpstr>
      <vt:lpstr>年龄分布</vt:lpstr>
      <vt:lpstr>津贴分布</vt:lpstr>
      <vt:lpstr>技术等级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gyb</dc:creator>
  <cp:lastModifiedBy>黄圣轩</cp:lastModifiedBy>
  <dcterms:created xsi:type="dcterms:W3CDTF">2013-04-17T11:02:00Z</dcterms:created>
  <cp:lastPrinted>2020-08-20T10:47:00Z</cp:lastPrinted>
  <dcterms:modified xsi:type="dcterms:W3CDTF">2026-02-09T10:17:41Z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9D4E87D468A146A584FC4CCD1978347E_13</vt:lpwstr>
  </property>
  <property fmtid="{D5CDD505-2E9C-101B-9397-08002B2CF9AE}" pid="4" name="CalculationRule">
    <vt:i4>0</vt:i4>
  </property>
</Properties>
</file>